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Data Dictionary" sheetId="2" r:id="rId6"/>
    <sheet state="visible" name="Cleaning &amp; Validation" sheetId="3" r:id="rId7"/>
    <sheet state="visible" name="Shipments Data" sheetId="4" r:id="rId8"/>
    <sheet state="visible" name="SKU Catalog" sheetId="5" r:id="rId9"/>
    <sheet state="visible" name="Supplier Reliability" sheetId="6" r:id="rId10"/>
    <sheet state="visible" name="Launch Risk" sheetId="7" r:id="rId11"/>
    <sheet state="visible" name="Choice Set" sheetId="8" r:id="rId12"/>
  </sheets>
  <definedNames/>
  <calcPr/>
</workbook>
</file>

<file path=xl/sharedStrings.xml><?xml version="1.0" encoding="utf-8"?>
<sst xmlns="http://schemas.openxmlformats.org/spreadsheetml/2006/main" count="1155" uniqueCount="437">
  <si>
    <t>Data Dictionary</t>
  </si>
  <si>
    <t>Cleaning &amp; Validation</t>
  </si>
  <si>
    <t>GreenThreads Operations — Denver Launch Supplier Risk</t>
  </si>
  <si>
    <t>Field meanings confirmed before analysis. Classification separates inputs, calculated outcomes, and validation fields.</t>
  </si>
  <si>
    <t>PO_Number</t>
  </si>
  <si>
    <t>Issues documented transparently. Valid in-transit blanks preserved as unknowns rather than zeroed; no source values silently changed.</t>
  </si>
  <si>
    <t>Dataset</t>
  </si>
  <si>
    <t>HW#3 Data Intelligence Project — combined supporting analysis</t>
  </si>
  <si>
    <t>SKU</t>
  </si>
  <si>
    <t>Product_Name</t>
  </si>
  <si>
    <t>Supplier</t>
  </si>
  <si>
    <t>Field</t>
  </si>
  <si>
    <t>Supplier_Country</t>
  </si>
  <si>
    <t>Business definition</t>
  </si>
  <si>
    <t>Destination_Store</t>
  </si>
  <si>
    <t>Type</t>
  </si>
  <si>
    <t>Order_Date</t>
  </si>
  <si>
    <t>Classification</t>
  </si>
  <si>
    <t>Used for</t>
  </si>
  <si>
    <t>Promised_Date</t>
  </si>
  <si>
    <t>Quality rule</t>
  </si>
  <si>
    <t>Actual_Receipt_Date</t>
  </si>
  <si>
    <t>Status</t>
  </si>
  <si>
    <t>Company: GreenThreads (sustainable apparel)  |  Function: Operations  |  Denver opening: October 12, 2026</t>
  </si>
  <si>
    <t>Shipments</t>
  </si>
  <si>
    <t>Days_Late</t>
  </si>
  <si>
    <t>Units</t>
  </si>
  <si>
    <t>Function goal (HW#1): get the four launch products onto the Denver sales floor on time.</t>
  </si>
  <si>
    <t>Unit_Cost</t>
  </si>
  <si>
    <t>Line_Cost</t>
  </si>
  <si>
    <t>Analysis date (As_of_Date): August 12, 2026</t>
  </si>
  <si>
    <t>PO-4400</t>
  </si>
  <si>
    <t>Unique purchase-order identifier.</t>
  </si>
  <si>
    <t>Tabs</t>
  </si>
  <si>
    <t>Text</t>
  </si>
  <si>
    <t>GT-CHN-07</t>
  </si>
  <si>
    <t>Identifier</t>
  </si>
  <si>
    <t>Slim Chino</t>
  </si>
  <si>
    <t>Row traceability</t>
  </si>
  <si>
    <t>Data Dictionary — every field defined and classified before analysis, with its quality rule.</t>
  </si>
  <si>
    <t>Mekong Textile Co.</t>
  </si>
  <si>
    <t>Required; unique; PO-#### format</t>
  </si>
  <si>
    <t>Vietnam</t>
  </si>
  <si>
    <t>Cleaning &amp; Validation — every check run, its result, treatment, and business reason.</t>
  </si>
  <si>
    <t>Boise</t>
  </si>
  <si>
    <t>Supplier Reliability — frequency (% late) and severity (avg days late) plus active overdue exposure.</t>
  </si>
  <si>
    <t>Launch Risk — the four launch SKUs mapped to supplier reliability, retail value, and carton status.</t>
  </si>
  <si>
    <t>GreenThreads stock-keeping unit identifier.</t>
  </si>
  <si>
    <t>Join to catalog</t>
  </si>
  <si>
    <t>Choice Set — three options with trade-offs and the recommendation.</t>
  </si>
  <si>
    <t>Received</t>
  </si>
  <si>
    <t>#</t>
  </si>
  <si>
    <t>Required; maps to one product</t>
  </si>
  <si>
    <t>Check</t>
  </si>
  <si>
    <t>Product associated with the SKU.</t>
  </si>
  <si>
    <t>Result</t>
  </si>
  <si>
    <t>PO-4401</t>
  </si>
  <si>
    <t>Descriptor</t>
  </si>
  <si>
    <t>Shipments Data / SKU Catalog — raw source data the analysis tabs reference by formula.</t>
  </si>
  <si>
    <t>GT-JKT-08</t>
  </si>
  <si>
    <t>Product-level analysis</t>
  </si>
  <si>
    <t>Treatment</t>
  </si>
  <si>
    <t>How to read the cells</t>
  </si>
  <si>
    <t>Must agree with SKU catalog</t>
  </si>
  <si>
    <t>Recycled Denim Jacket</t>
  </si>
  <si>
    <t>Business reason</t>
  </si>
  <si>
    <t>Andes Knitworks</t>
  </si>
  <si>
    <t>Blue = hardcoded input or documented estimate. Black = formula reading the raw data tabs. Yellow = assumption.</t>
  </si>
  <si>
    <t>Colombia</t>
  </si>
  <si>
    <t>Spokane</t>
  </si>
  <si>
    <t>Vendor responsible for the shipment.</t>
  </si>
  <si>
    <t>Change a shipment record and the reliability, launch-risk, and exposure figures recalculate.</t>
  </si>
  <si>
    <t>Dimension</t>
  </si>
  <si>
    <t>Supplier reliability</t>
  </si>
  <si>
    <t>Must map to one country; one spelling</t>
  </si>
  <si>
    <t>Tools, Method &amp; Verification</t>
  </si>
  <si>
    <t>Datasets analyzed in ChatGPT Work (reasoning tier) and Claude (Opus / Sonnet 4.6), independently recomputed</t>
  </si>
  <si>
    <t>Country associated with the supplier.</t>
  </si>
  <si>
    <t>PO-4402</t>
  </si>
  <si>
    <t>GT-JOG-03</t>
  </si>
  <si>
    <t>Geographic exposure</t>
  </si>
  <si>
    <t>Bamboo Joggers</t>
  </si>
  <si>
    <t>in Python/pandas, and reproduced here as traceable Excel formulas so no figure rests on a model typing a number.</t>
  </si>
  <si>
    <t>Must agree with catalog</t>
  </si>
  <si>
    <t>Song Hong Apparel</t>
  </si>
  <si>
    <t>Validation: 0 duplicate POs, 0 required-field gaps, 0 date/status conflicts, 0 line-cost errors, 0 catalog-mapping</t>
  </si>
  <si>
    <t>Portland-Division</t>
  </si>
  <si>
    <t>Store receiving the purchase order.</t>
  </si>
  <si>
    <t>errors, 0 Days_Late mismatches across all 80 received rows. Spot checks: PO-4400 = 400 x $26 = $10,400 and 8 days</t>
  </si>
  <si>
    <t>In transit</t>
  </si>
  <si>
    <t>Destination analysis</t>
  </si>
  <si>
    <t>late; PO-4401 = 0 days late; PO-4402 blanks valid in transit.</t>
  </si>
  <si>
    <t>Required</t>
  </si>
  <si>
    <t>PO-4403</t>
  </si>
  <si>
    <t>Date GreenThreads placed the order.</t>
  </si>
  <si>
    <t>Decision rights</t>
  </si>
  <si>
    <t>Date</t>
  </si>
  <si>
    <t>Operations owns escalation and the exception-control call. Procurement owns spend and sourcing changes. Legal owns</t>
  </si>
  <si>
    <t>Input</t>
  </si>
  <si>
    <t>Lead-time validation</t>
  </si>
  <si>
    <t>contract terms. AI calculates and flags; a human reviews every trigger and makes the final decision.</t>
  </si>
  <si>
    <t>Must be &lt;= promised date</t>
  </si>
  <si>
    <t>Tacoma</t>
  </si>
  <si>
    <t>Supplier-planned receipt date.</t>
  </si>
  <si>
    <t>1</t>
  </si>
  <si>
    <t>On-time calculation</t>
  </si>
  <si>
    <t>Must be &gt;= order date</t>
  </si>
  <si>
    <t>Shipment row count</t>
  </si>
  <si>
    <t>96 rows present</t>
  </si>
  <si>
    <t>PO-4404</t>
  </si>
  <si>
    <t>Pass</t>
  </si>
  <si>
    <t>GT-TNK-06</t>
  </si>
  <si>
    <t>Actual receipt date; legitimately blank while in transit.</t>
  </si>
  <si>
    <t>Retained</t>
  </si>
  <si>
    <t>Organic Tank Top</t>
  </si>
  <si>
    <t>Outcome</t>
  </si>
  <si>
    <t>Complete analysis population</t>
  </si>
  <si>
    <t>Delta Organics</t>
  </si>
  <si>
    <t>Delay calculation</t>
  </si>
  <si>
    <t>India</t>
  </si>
  <si>
    <t>Required only when Received</t>
  </si>
  <si>
    <t>Eugene</t>
  </si>
  <si>
    <t>2</t>
  </si>
  <si>
    <t>Shipment state: Received or In transit.</t>
  </si>
  <si>
    <t>Duplicate PO numbers</t>
  </si>
  <si>
    <t>0 duplicates (PO-4400 to PO-4495)</t>
  </si>
  <si>
    <t>Population selection</t>
  </si>
  <si>
    <t>Must agree with receipt-date presence</t>
  </si>
  <si>
    <t>No removal needed</t>
  </si>
  <si>
    <t>PO-4405</t>
  </si>
  <si>
    <t>Avoids double counting</t>
  </si>
  <si>
    <t>GT-POL-05</t>
  </si>
  <si>
    <t>Completed-shipment delay: actual minus promised. Blank in transit.</t>
  </si>
  <si>
    <t>Performance Polo</t>
  </si>
  <si>
    <t>Number</t>
  </si>
  <si>
    <t>3</t>
  </si>
  <si>
    <t>Calculated outcome</t>
  </si>
  <si>
    <t>Required shipment fields</t>
  </si>
  <si>
    <t>Reliability severity</t>
  </si>
  <si>
    <t>Recalculate and match</t>
  </si>
  <si>
    <t>0 missing required fields</t>
  </si>
  <si>
    <t>No correction needed</t>
  </si>
  <si>
    <t>Identifiers and inputs complete</t>
  </si>
  <si>
    <t>Units on the purchase-order line.</t>
  </si>
  <si>
    <t>Integer</t>
  </si>
  <si>
    <t>4</t>
  </si>
  <si>
    <t>Volume exposure</t>
  </si>
  <si>
    <t>Date logic (order &lt;= promised)</t>
  </si>
  <si>
    <t>PO-4406</t>
  </si>
  <si>
    <t>Positive</t>
  </si>
  <si>
    <t>0 invalid date sequences</t>
  </si>
  <si>
    <t>Wholesale cost per unit.</t>
  </si>
  <si>
    <t>Currency</t>
  </si>
  <si>
    <t>Prevents negative lead-time errors</t>
  </si>
  <si>
    <t>Value exposure</t>
  </si>
  <si>
    <t>Must match catalog</t>
  </si>
  <si>
    <t>5</t>
  </si>
  <si>
    <t>Status / receipt consistency</t>
  </si>
  <si>
    <t>0 conflicts</t>
  </si>
  <si>
    <t>Units multiplied by unit cost.</t>
  </si>
  <si>
    <t>Calculated</t>
  </si>
  <si>
    <t>Status controls eligible calculations</t>
  </si>
  <si>
    <t>PO-4407</t>
  </si>
  <si>
    <t>Must reconcile</t>
  </si>
  <si>
    <t>Derived</t>
  </si>
  <si>
    <t>6</t>
  </si>
  <si>
    <t>Calculated_Days_Late</t>
  </si>
  <si>
    <t>Line-cost reconciliation</t>
  </si>
  <si>
    <t>Independent formula check of Days_Late.</t>
  </si>
  <si>
    <t>0 mismatches (Units x Unit_Cost)</t>
  </si>
  <si>
    <t>Seattle-Cap Hill</t>
  </si>
  <si>
    <t>Validation</t>
  </si>
  <si>
    <t>Verification</t>
  </si>
  <si>
    <t>Match on all received rows</t>
  </si>
  <si>
    <t>Protects cost totals</t>
  </si>
  <si>
    <t>Current_Days_Overdue</t>
  </si>
  <si>
    <t>Days past promise for an in-transit shipment as of the analysis date.</t>
  </si>
  <si>
    <t>PO-4408</t>
  </si>
  <si>
    <t>Active exception risk</t>
  </si>
  <si>
    <t>Never replace unknown receipt with zero</t>
  </si>
  <si>
    <t>Austin-South Congress</t>
  </si>
  <si>
    <t>Current_Overdue_Flag</t>
  </si>
  <si>
    <t>Marks in-transit orders whose promised date is before the analysis date.</t>
  </si>
  <si>
    <t>Calculated status</t>
  </si>
  <si>
    <t>Exception monitoring</t>
  </si>
  <si>
    <t>Driven by As_of_Date</t>
  </si>
  <si>
    <t>PO-4409</t>
  </si>
  <si>
    <t>Catalog_Mapping_Check</t>
  </si>
  <si>
    <t>GT-SHT-02</t>
  </si>
  <si>
    <t>Confirms shipment SKU, product, supplier, country, and unit cost agree with catalog.</t>
  </si>
  <si>
    <t>Active Shorts</t>
  </si>
  <si>
    <t>Cross-file consistency</t>
  </si>
  <si>
    <t>Match on all shipment rows</t>
  </si>
  <si>
    <t>Catalog</t>
  </si>
  <si>
    <t>Lead_Time_Days</t>
  </si>
  <si>
    <t>Planned supplier lead time used for launch planning.</t>
  </si>
  <si>
    <t>Deadline planning</t>
  </si>
  <si>
    <t>Positive; reconcile to order-by date</t>
  </si>
  <si>
    <t>PO-4410</t>
  </si>
  <si>
    <t>MOQ_Units</t>
  </si>
  <si>
    <t>Minimum order quantity.</t>
  </si>
  <si>
    <t>Constraint</t>
  </si>
  <si>
    <t>Salt Lake City</t>
  </si>
  <si>
    <t>Launch buy validation</t>
  </si>
  <si>
    <t>Launch buy must meet MOQ</t>
  </si>
  <si>
    <t>Units_Per_Carton</t>
  </si>
  <si>
    <t>Units in a full shipping carton.</t>
  </si>
  <si>
    <t>Carton verification</t>
  </si>
  <si>
    <t>Launch buy should be a whole multiple</t>
  </si>
  <si>
    <t>PO-4411</t>
  </si>
  <si>
    <t>Wholesale_Cost</t>
  </si>
  <si>
    <t>Catalog cost per unit (merchandise only; excludes freight and duty).</t>
  </si>
  <si>
    <t>Cost and margin</t>
  </si>
  <si>
    <t>Must equal shipment unit cost</t>
  </si>
  <si>
    <t>MSRP</t>
  </si>
  <si>
    <t>Planned retail price per unit.</t>
  </si>
  <si>
    <t>Retail value and margin</t>
  </si>
  <si>
    <t>PO-4412</t>
  </si>
  <si>
    <t>Unit_Margin</t>
  </si>
  <si>
    <t>MSRP minus wholesale cost; gross of landed freight and duty.</t>
  </si>
  <si>
    <t>Margin exposure</t>
  </si>
  <si>
    <t>Bend</t>
  </si>
  <si>
    <t>Denver_Opening_Buy_Units</t>
  </si>
  <si>
    <t>Units bought for the Denver opening.</t>
  </si>
  <si>
    <t>PO-4413</t>
  </si>
  <si>
    <t>Launch exposure</t>
  </si>
  <si>
    <t>Must meet MOQ</t>
  </si>
  <si>
    <t>Boulder</t>
  </si>
  <si>
    <t>PO-4414</t>
  </si>
  <si>
    <t>PO-4415</t>
  </si>
  <si>
    <t>PO-4416</t>
  </si>
  <si>
    <t>PO-4417</t>
  </si>
  <si>
    <t>Seattle-Ballard</t>
  </si>
  <si>
    <t>PO-4418</t>
  </si>
  <si>
    <t>PO-4419</t>
  </si>
  <si>
    <t>PO-4420</t>
  </si>
  <si>
    <t>GT-HOD-04</t>
  </si>
  <si>
    <t>EcoFleece Hoodie</t>
  </si>
  <si>
    <t>PO-4421</t>
  </si>
  <si>
    <t>PO-4422</t>
  </si>
  <si>
    <t>PO-4423</t>
  </si>
  <si>
    <t>PO-4424</t>
  </si>
  <si>
    <t>7</t>
  </si>
  <si>
    <t>Days_Late recalculation</t>
  </si>
  <si>
    <t>0 mismatches across 80 received rows</t>
  </si>
  <si>
    <t>Verifies AI-reported delay math</t>
  </si>
  <si>
    <t>PO-4425</t>
  </si>
  <si>
    <t>8</t>
  </si>
  <si>
    <t>Cross-file catalog mapping</t>
  </si>
  <si>
    <t>0 mapping or economics mismatches</t>
  </si>
  <si>
    <t>Category</t>
  </si>
  <si>
    <t>Material</t>
  </si>
  <si>
    <t>SKU, supplier, country, cost reconcile</t>
  </si>
  <si>
    <t>Sustainability_Cert</t>
  </si>
  <si>
    <t>9</t>
  </si>
  <si>
    <t>PO-4426</t>
  </si>
  <si>
    <t>Valid in-transit blanks</t>
  </si>
  <si>
    <t>32 blanks across 16 rows</t>
  </si>
  <si>
    <t>Expected</t>
  </si>
  <si>
    <t>Preserved as blank; measured against As_of_Date instead</t>
  </si>
  <si>
    <t>An unknown receipt is not an on-time receipt</t>
  </si>
  <si>
    <t>10</t>
  </si>
  <si>
    <t>Supplier name consistency</t>
  </si>
  <si>
    <t>4 suppliers, 1 spelling each in this file version</t>
  </si>
  <si>
    <t>PO-4427</t>
  </si>
  <si>
    <t>Margin_Pct</t>
  </si>
  <si>
    <t>Pass (watch)</t>
  </si>
  <si>
    <t>Normalization step retained in the pipeline</t>
  </si>
  <si>
    <t>In_Denver_Launch</t>
  </si>
  <si>
    <t>An earlier export split Andes Knitworks across two spellings, which would understate its order volume</t>
  </si>
  <si>
    <t>Opening_Buy_Cost</t>
  </si>
  <si>
    <t>11</t>
  </si>
  <si>
    <t>Opening_Buy_Retail_Value</t>
  </si>
  <si>
    <t>Order_By_Date</t>
  </si>
  <si>
    <t>Days_Until_Order_Deadline</t>
  </si>
  <si>
    <t>Notes</t>
  </si>
  <si>
    <t>PO-4428</t>
  </si>
  <si>
    <t>Outerwear</t>
  </si>
  <si>
    <t>Launch carton multiples</t>
  </si>
  <si>
    <t>Recycled fleece</t>
  </si>
  <si>
    <t>3 of 4 launch buys are not whole cartons (Hoodie 70.8, Tee 66.7, Joggers 59.4)</t>
  </si>
  <si>
    <t>GRS</t>
  </si>
  <si>
    <t>Needs verification</t>
  </si>
  <si>
    <t>Escalated for quantity confirmation; source not changed</t>
  </si>
  <si>
    <t>Avoids unsupported data edits and receiving disputes</t>
  </si>
  <si>
    <t>12</t>
  </si>
  <si>
    <t>Deadline snapshot labeling</t>
  </si>
  <si>
    <t>Catalog deadline field reflects a fixed prior date</t>
  </si>
  <si>
    <t>PO-4429</t>
  </si>
  <si>
    <t>Documented</t>
  </si>
  <si>
    <t>Added visible As_of_Date driving all elapsed-time math</t>
  </si>
  <si>
    <t>Prevents stale deadline interpretation</t>
  </si>
  <si>
    <t>Y</t>
  </si>
  <si>
    <t>13</t>
  </si>
  <si>
    <t>Portland-Pearl</t>
  </si>
  <si>
    <t>'On-time' definition</t>
  </si>
  <si>
    <t>0 early deliveries; 23 arrived exactly on the promised day</t>
  </si>
  <si>
    <t>Report % late and avg days late together</t>
  </si>
  <si>
    <t>PO-4430</t>
  </si>
  <si>
    <t>On-time rate alone flatters suppliers that are never early</t>
  </si>
  <si>
    <t>Recycled denim</t>
  </si>
  <si>
    <t>N</t>
  </si>
  <si>
    <t>PO-4431</t>
  </si>
  <si>
    <t>GT-TEE-01</t>
  </si>
  <si>
    <t>Classic Tee</t>
  </si>
  <si>
    <t>In GreenThreads catalog; stocked at other stores. Not in the Denver launch assortment.</t>
  </si>
  <si>
    <t>Tops</t>
  </si>
  <si>
    <t>Organic cotton</t>
  </si>
  <si>
    <t>GOTS</t>
  </si>
  <si>
    <t>PO-4432</t>
  </si>
  <si>
    <t>Recycled pique</t>
  </si>
  <si>
    <t>PO-4433</t>
  </si>
  <si>
    <t>PO-4434</t>
  </si>
  <si>
    <t>PO-4435</t>
  </si>
  <si>
    <t>Bottoms</t>
  </si>
  <si>
    <t>PO-4436</t>
  </si>
  <si>
    <t>Recycled polyester</t>
  </si>
  <si>
    <t>PO-4437</t>
  </si>
  <si>
    <t>Hemp-cotton blend</t>
  </si>
  <si>
    <t>OEKO-TEX</t>
  </si>
  <si>
    <t>PO-4438</t>
  </si>
  <si>
    <t>Bamboo viscose</t>
  </si>
  <si>
    <t>PO-4439</t>
  </si>
  <si>
    <t>PO-4440</t>
  </si>
  <si>
    <t>PO-4441</t>
  </si>
  <si>
    <t>PO-4442</t>
  </si>
  <si>
    <t>PO-4443</t>
  </si>
  <si>
    <t>PO-4444</t>
  </si>
  <si>
    <t>PO-4445</t>
  </si>
  <si>
    <t>PO-4446</t>
  </si>
  <si>
    <t>PO-4447</t>
  </si>
  <si>
    <t>Supplier Reliability — frequency, severity, and active exposure</t>
  </si>
  <si>
    <t>PO-4448</t>
  </si>
  <si>
    <t>Frequency (% late) and severity (avg days late) are both reported because they answer different questions. Tier flags severity over 3 days.</t>
  </si>
  <si>
    <t>As_of_Date (drives overdue math):</t>
  </si>
  <si>
    <t>PO-4449</t>
  </si>
  <si>
    <t>PO-4450</t>
  </si>
  <si>
    <t>Country</t>
  </si>
  <si>
    <t>Late (&gt;0d)</t>
  </si>
  <si>
    <t>% Late</t>
  </si>
  <si>
    <t>Avg Days Late</t>
  </si>
  <si>
    <t>Max Days Late</t>
  </si>
  <si>
    <t>In Transit</t>
  </si>
  <si>
    <t>PO-4451</t>
  </si>
  <si>
    <t>Overdue Now</t>
  </si>
  <si>
    <t>Tier</t>
  </si>
  <si>
    <t>PO-4452</t>
  </si>
  <si>
    <t>PO-4453</t>
  </si>
  <si>
    <t>PO-4454</t>
  </si>
  <si>
    <t>PO-4455</t>
  </si>
  <si>
    <t>PO-4456</t>
  </si>
  <si>
    <t>PO-4457</t>
  </si>
  <si>
    <t>PO-4458</t>
  </si>
  <si>
    <t>PO-4459</t>
  </si>
  <si>
    <t>PO-4460</t>
  </si>
  <si>
    <t>PO-4461</t>
  </si>
  <si>
    <t>PO-4462</t>
  </si>
  <si>
    <t>PO-4463</t>
  </si>
  <si>
    <t>PO-4464</t>
  </si>
  <si>
    <t>PO-4465</t>
  </si>
  <si>
    <t>PO-4466</t>
  </si>
  <si>
    <t>PO-4467</t>
  </si>
  <si>
    <t>PO-4468</t>
  </si>
  <si>
    <t>PO-4469</t>
  </si>
  <si>
    <t>PO-4470</t>
  </si>
  <si>
    <t>PO-4471</t>
  </si>
  <si>
    <t>PO-4472</t>
  </si>
  <si>
    <t>PO-4473</t>
  </si>
  <si>
    <t>PO-4474</t>
  </si>
  <si>
    <t>PO-4475</t>
  </si>
  <si>
    <t>PO-4476</t>
  </si>
  <si>
    <t>PO-4477</t>
  </si>
  <si>
    <t>PO-4478</t>
  </si>
  <si>
    <t>PO-4479</t>
  </si>
  <si>
    <t>PO-4480</t>
  </si>
  <si>
    <t>PO-4481</t>
  </si>
  <si>
    <t>PO-4482</t>
  </si>
  <si>
    <t>PO-4483</t>
  </si>
  <si>
    <t>PO-4484</t>
  </si>
  <si>
    <t>PO-4485</t>
  </si>
  <si>
    <t>PO-4486</t>
  </si>
  <si>
    <t>Denver Launch Risk (opening October 12, 2026)</t>
  </si>
  <si>
    <t>PO-4487</t>
  </si>
  <si>
    <t>Four launch SKUs mapped to supplier severity. Retail value is the exposure a delay puts in play; carton status flags receiving risk.</t>
  </si>
  <si>
    <t>PO-4488</t>
  </si>
  <si>
    <t>Product</t>
  </si>
  <si>
    <t>Unit Cost</t>
  </si>
  <si>
    <t>PO-4489</t>
  </si>
  <si>
    <t>Opening Buy Cost</t>
  </si>
  <si>
    <t>Retail Value</t>
  </si>
  <si>
    <t>Units/Carton</t>
  </si>
  <si>
    <t>Cartons</t>
  </si>
  <si>
    <t>Retail at Risk</t>
  </si>
  <si>
    <t>PO-4490</t>
  </si>
  <si>
    <t>PO-4491</t>
  </si>
  <si>
    <t>PO-4492</t>
  </si>
  <si>
    <t>PO-4493</t>
  </si>
  <si>
    <t>PO-4494</t>
  </si>
  <si>
    <t>PO-4495</t>
  </si>
  <si>
    <t>Both Vietnam suppliers are late on 100% of completed orders. Mekong ties Song Hong on frequency across a larger base and has more overdue orders in transit right now; Song Hong is worse on severity.</t>
  </si>
  <si>
    <t>Choice Set &amp; Recommendation</t>
  </si>
  <si>
    <t>Assumptions (yellow = estimate or judgment, not measured in the data)</t>
  </si>
  <si>
    <t>Opening day</t>
  </si>
  <si>
    <t>October 12, 2026 — derived: every launch SKU's Order_By_Date + Lead_Time_Days</t>
  </si>
  <si>
    <t>As_of_Date</t>
  </si>
  <si>
    <t>August 12, 2026 — drives all overdue and elapsed calculations</t>
  </si>
  <si>
    <t>Realistic slip</t>
  </si>
  <si>
    <t>Song Hong ~12 days, Mekong ~7 days, from their own completed-order history</t>
  </si>
  <si>
    <t>Freight and duty</t>
  </si>
  <si>
    <t>Wholesale cost is merchandise only; true landed COGS is higher, so margin shown is gross of freight and duty</t>
  </si>
  <si>
    <t>Expedite cost</t>
  </si>
  <si>
    <t>Quote-based; no freight or lost-sales figure is invented in this analysis</t>
  </si>
  <si>
    <t>Options</t>
  </si>
  <si>
    <t>Option</t>
  </si>
  <si>
    <t>Operating move</t>
  </si>
  <si>
    <t>Value</t>
  </si>
  <si>
    <t>Trade-off / limitation</t>
  </si>
  <si>
    <t>Position</t>
  </si>
  <si>
    <t>A. Observe</t>
  </si>
  <si>
    <t>Rely on promised dates and routine monitoring; no change.</t>
  </si>
  <si>
    <t>No new process or spend.</t>
  </si>
  <si>
    <t>No control at all for two suppliers with 100% late histories.</t>
  </si>
  <si>
    <t>Reject</t>
  </si>
  <si>
    <t>B. Control</t>
  </si>
  <si>
    <t>Require ex-factory, container-load, booking, and weekly milestones on both Vietnam launch POs; test the SOP two-week buffer.</t>
  </si>
  <si>
    <t>Earlier visibility and supplier accountability at no freight cost.</t>
  </si>
  <si>
    <t>Monitoring alone creates no backup if a milestone actually slips.</t>
  </si>
  <si>
    <t>Partial</t>
  </si>
  <si>
    <t>C. Gate (recommended)</t>
  </si>
  <si>
    <t>Adopt B, secure partial-expedite and backup-source quotes now, and release spend only on a verified trigger. Adopt a standing rule: any supplier averaging over 3 days late gets an automatic two-week buffer and expedite review.</t>
  </si>
  <si>
    <t>Preserves action time, keeps the decision evidence-based, and prevents the same failure on the next launch.</t>
  </si>
  <si>
    <t>Requires cross-functional coordination; final cost stays quote-based until a trigger fires.</t>
  </si>
  <si>
    <t>APPROVE</t>
  </si>
  <si>
    <t>Recommendation: Approve Option C. It targets the two suppliers with verified 100% late rates, avoids paying to rush units that would sell weeks after opening, and converts a one-time save into a standing rule tied to the HW#1 goal of an on-time Denver opening. Operations places both Vietnam launch items on exception control; Procurement obtains quotes and approves any spend or sourcing change; Legal owns contract terms.</t>
  </si>
  <si>
    <t>TOTAL</t>
  </si>
  <si>
    <t>Share of launch retail value at risk:</t>
  </si>
  <si>
    <t>Planning inference, not a forecast: applying Song Hong's 12.1-day historical mean to SH-2291's October 3 promise implies roughly an October 15 receipt, three days after opening.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</si>
</sst>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\-mm\-dd"/>
    <numFmt numFmtId="165" formatCode="0.0%"/>
    <numFmt numFmtId="166" formatCode="0.0"/>
    <numFmt numFmtId="167" formatCode="\$#,##0.00"/>
    <numFmt numFmtId="168" formatCode="\$#,##0"/>
    <numFmt numFmtId="169" formatCode="\$#,##0;;\-"/>
  </numFmts>
  <fonts count="12">
    <font>
      <sz val="11.0"/>
      <color theme="1"/>
      <name val="Calibri"/>
      <scheme val="minor"/>
    </font>
    <font>
      <b/>
      <sz val="14.0"/>
      <color rgb="FF1F3A5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1F3A5F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0.0"/>
      <color rgb="FFC00000"/>
      <name val="Arial"/>
    </font>
    <font>
      <b/>
      <sz val="10.0"/>
      <color rgb="FF006100"/>
      <name val="Arial"/>
    </font>
    <font>
      <i/>
      <sz val="10.0"/>
      <color rgb="FF1F3A5F"/>
      <name val="Arial"/>
    </font>
    <font>
      <b/>
      <sz val="10.0"/>
      <color rgb="FF1F3A5F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E9EEF4"/>
        <bgColor rgb="FFE9EEF4"/>
      </patternFill>
    </fill>
    <fill>
      <patternFill patternType="solid">
        <fgColor rgb="FFFFF2CC"/>
        <bgColor rgb="FFFFF2CC"/>
      </patternFill>
    </fill>
    <fill>
      <patternFill patternType="solid">
        <fgColor rgb="FFFBE4E4"/>
        <bgColor rgb="FFFBE4E4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164" xfId="0" applyAlignment="1" applyFont="1" applyNumberFormat="1">
      <alignment shrinkToFit="0" vertical="bottom" wrapText="0"/>
    </xf>
    <xf borderId="1" fillId="4" fontId="2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2" fillId="4" fontId="6" numFmtId="164" xfId="0" applyAlignment="1" applyBorder="1" applyFill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5" fontId="2" numFmtId="165" xfId="0" applyAlignment="1" applyBorder="1" applyFill="1" applyFont="1" applyNumberFormat="1">
      <alignment shrinkToFit="0" vertical="bottom" wrapText="0"/>
    </xf>
    <xf borderId="1" fillId="5" fontId="2" numFmtId="166" xfId="0" applyAlignment="1" applyBorder="1" applyFill="1" applyFont="1" applyNumberFormat="1">
      <alignment shrinkToFit="0" vertical="bottom" wrapText="0"/>
    </xf>
    <xf borderId="1" fillId="5" fontId="7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165" xfId="0" applyAlignment="1" applyBorder="1" applyFill="1" applyFont="1" applyNumberFormat="1">
      <alignment shrinkToFit="0" vertical="bottom" wrapText="0"/>
    </xf>
    <xf borderId="1" fillId="3" fontId="2" numFmtId="166" xfId="0" applyAlignment="1" applyBorder="1" applyFill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6" numFmtId="167" xfId="0" applyAlignment="1" applyBorder="1" applyFont="1" applyNumberForma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0" fontId="2" numFmtId="168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6" fontId="2" numFmtId="0" xfId="0" applyAlignment="1" applyBorder="1" applyFill="1" applyFont="1">
      <alignment shrinkToFit="0" vertical="top" wrapText="1"/>
    </xf>
    <xf borderId="1" fillId="0" fontId="6" numFmtId="168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top" wrapText="1"/>
    </xf>
    <xf borderId="1" fillId="0" fontId="2" numFmtId="166" xfId="0" applyAlignment="1" applyBorder="1" applyFont="1" applyNumberFormat="1">
      <alignment shrinkToFit="0" vertical="bottom" wrapText="0"/>
    </xf>
    <xf borderId="1" fillId="0" fontId="2" numFmtId="169" xfId="0" applyAlignment="1" applyBorder="1" applyFont="1" applyNumberFormat="1">
      <alignment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1" fillId="5" fontId="6" numFmtId="167" xfId="0" applyAlignment="1" applyBorder="1" applyFill="1" applyFont="1" applyNumberFormat="1">
      <alignment shrinkToFit="0" vertical="bottom" wrapText="0"/>
    </xf>
    <xf borderId="1" fillId="5" fontId="2" numFmtId="168" xfId="0" applyAlignment="1" applyBorder="1" applyFill="1" applyFont="1" applyNumberFormat="1">
      <alignment shrinkToFit="0" vertical="bottom" wrapText="0"/>
    </xf>
    <xf borderId="1" fillId="5" fontId="6" numFmtId="168" xfId="0" applyAlignment="1" applyBorder="1" applyFill="1" applyFont="1" applyNumberFormat="1">
      <alignment shrinkToFit="0" vertical="bottom" wrapText="0"/>
    </xf>
    <xf borderId="1" fillId="5" fontId="2" numFmtId="169" xfId="0" applyAlignment="1" applyBorder="1" applyFill="1" applyFont="1" applyNumberFormat="1">
      <alignment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5" numFmtId="3" xfId="0" applyAlignment="1" applyBorder="1" applyFont="1" applyNumberFormat="1">
      <alignment shrinkToFit="0" vertical="bottom" wrapText="0"/>
    </xf>
    <xf borderId="1" fillId="0" fontId="5" numFmtId="168" xfId="0" applyAlignment="1" applyBorder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2</v>
      </c>
    </row>
    <row r="2">
      <c r="A2" s="2"/>
    </row>
    <row r="3">
      <c r="A3" s="5" t="s">
        <v>7</v>
      </c>
    </row>
    <row r="4">
      <c r="A4" s="2" t="s">
        <v>23</v>
      </c>
    </row>
    <row r="5">
      <c r="A5" s="2" t="s">
        <v>27</v>
      </c>
    </row>
    <row r="6">
      <c r="A6" s="2" t="s">
        <v>30</v>
      </c>
    </row>
    <row r="7">
      <c r="A7" s="2"/>
    </row>
    <row r="8">
      <c r="A8" s="5" t="s">
        <v>33</v>
      </c>
    </row>
    <row r="9">
      <c r="A9" s="2" t="s">
        <v>39</v>
      </c>
    </row>
    <row r="10">
      <c r="A10" s="2" t="s">
        <v>43</v>
      </c>
    </row>
    <row r="11">
      <c r="A11" s="2" t="s">
        <v>45</v>
      </c>
    </row>
    <row r="12">
      <c r="A12" s="2" t="s">
        <v>46</v>
      </c>
    </row>
    <row r="13">
      <c r="A13" s="2" t="s">
        <v>49</v>
      </c>
    </row>
    <row r="14">
      <c r="A14" s="2" t="s">
        <v>58</v>
      </c>
    </row>
    <row r="15">
      <c r="A15" s="2"/>
    </row>
    <row r="16">
      <c r="A16" s="5" t="s">
        <v>62</v>
      </c>
    </row>
    <row r="17">
      <c r="A17" s="2" t="s">
        <v>67</v>
      </c>
    </row>
    <row r="18">
      <c r="A18" s="2" t="s">
        <v>71</v>
      </c>
    </row>
    <row r="19">
      <c r="A19" s="2"/>
    </row>
    <row r="20">
      <c r="A20" s="5" t="s">
        <v>75</v>
      </c>
    </row>
    <row r="21" ht="15.75" customHeight="1">
      <c r="A21" s="2" t="s">
        <v>76</v>
      </c>
    </row>
    <row r="22" ht="15.75" customHeight="1">
      <c r="A22" s="2" t="s">
        <v>82</v>
      </c>
    </row>
    <row r="23" ht="15.75" customHeight="1">
      <c r="A23" s="2" t="s">
        <v>85</v>
      </c>
    </row>
    <row r="24" ht="15.75" customHeight="1">
      <c r="A24" s="2" t="s">
        <v>88</v>
      </c>
    </row>
    <row r="25" ht="15.75" customHeight="1">
      <c r="A25" s="2" t="s">
        <v>91</v>
      </c>
    </row>
    <row r="26" ht="15.75" customHeight="1">
      <c r="A26" s="2"/>
    </row>
    <row r="27" ht="15.75" customHeight="1">
      <c r="A27" s="5" t="s">
        <v>95</v>
      </c>
    </row>
    <row r="28" ht="15.75" customHeight="1">
      <c r="A28" s="2" t="s">
        <v>97</v>
      </c>
    </row>
    <row r="29" ht="15.75" customHeight="1">
      <c r="A29" s="2" t="s">
        <v>100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0"/>
    <col customWidth="1" min="3" max="3" width="46.0"/>
    <col customWidth="1" min="4" max="4" width="10.0"/>
    <col customWidth="1" min="5" max="5" width="17.0"/>
    <col customWidth="1" min="6" max="6" width="22.0"/>
    <col customWidth="1" min="7" max="7" width="34.0"/>
    <col customWidth="1" min="8" max="26" width="8.71"/>
  </cols>
  <sheetData>
    <row r="1">
      <c r="A1" s="1" t="s">
        <v>0</v>
      </c>
    </row>
    <row r="2">
      <c r="A2" s="2" t="s">
        <v>3</v>
      </c>
    </row>
    <row r="4">
      <c r="A4" s="4" t="s">
        <v>6</v>
      </c>
      <c r="B4" s="4" t="s">
        <v>11</v>
      </c>
      <c r="C4" s="4" t="s">
        <v>13</v>
      </c>
      <c r="D4" s="4" t="s">
        <v>15</v>
      </c>
      <c r="E4" s="4" t="s">
        <v>17</v>
      </c>
      <c r="F4" s="4" t="s">
        <v>18</v>
      </c>
      <c r="G4" s="4" t="s">
        <v>20</v>
      </c>
    </row>
    <row r="5">
      <c r="A5" s="6" t="s">
        <v>24</v>
      </c>
      <c r="B5" s="6" t="s">
        <v>4</v>
      </c>
      <c r="C5" s="6" t="s">
        <v>32</v>
      </c>
      <c r="D5" s="6" t="s">
        <v>34</v>
      </c>
      <c r="E5" s="6" t="s">
        <v>36</v>
      </c>
      <c r="F5" s="6" t="s">
        <v>38</v>
      </c>
      <c r="G5" s="6" t="s">
        <v>41</v>
      </c>
    </row>
    <row r="6">
      <c r="A6" s="7" t="s">
        <v>24</v>
      </c>
      <c r="B6" s="7" t="s">
        <v>8</v>
      </c>
      <c r="C6" s="7" t="s">
        <v>47</v>
      </c>
      <c r="D6" s="7" t="s">
        <v>34</v>
      </c>
      <c r="E6" s="7" t="s">
        <v>36</v>
      </c>
      <c r="F6" s="7" t="s">
        <v>48</v>
      </c>
      <c r="G6" s="7" t="s">
        <v>52</v>
      </c>
    </row>
    <row r="7">
      <c r="A7" s="6" t="s">
        <v>24</v>
      </c>
      <c r="B7" s="6" t="s">
        <v>9</v>
      </c>
      <c r="C7" s="6" t="s">
        <v>54</v>
      </c>
      <c r="D7" s="6" t="s">
        <v>34</v>
      </c>
      <c r="E7" s="6" t="s">
        <v>57</v>
      </c>
      <c r="F7" s="6" t="s">
        <v>60</v>
      </c>
      <c r="G7" s="6" t="s">
        <v>63</v>
      </c>
    </row>
    <row r="8">
      <c r="A8" s="7" t="s">
        <v>24</v>
      </c>
      <c r="B8" s="7" t="s">
        <v>10</v>
      </c>
      <c r="C8" s="7" t="s">
        <v>70</v>
      </c>
      <c r="D8" s="7" t="s">
        <v>34</v>
      </c>
      <c r="E8" s="7" t="s">
        <v>72</v>
      </c>
      <c r="F8" s="7" t="s">
        <v>73</v>
      </c>
      <c r="G8" s="7" t="s">
        <v>74</v>
      </c>
    </row>
    <row r="9">
      <c r="A9" s="6" t="s">
        <v>24</v>
      </c>
      <c r="B9" s="6" t="s">
        <v>12</v>
      </c>
      <c r="C9" s="6" t="s">
        <v>77</v>
      </c>
      <c r="D9" s="6" t="s">
        <v>34</v>
      </c>
      <c r="E9" s="6" t="s">
        <v>72</v>
      </c>
      <c r="F9" s="6" t="s">
        <v>80</v>
      </c>
      <c r="G9" s="6" t="s">
        <v>83</v>
      </c>
    </row>
    <row r="10">
      <c r="A10" s="7" t="s">
        <v>24</v>
      </c>
      <c r="B10" s="7" t="s">
        <v>14</v>
      </c>
      <c r="C10" s="7" t="s">
        <v>87</v>
      </c>
      <c r="D10" s="7" t="s">
        <v>34</v>
      </c>
      <c r="E10" s="7" t="s">
        <v>72</v>
      </c>
      <c r="F10" s="7" t="s">
        <v>90</v>
      </c>
      <c r="G10" s="7" t="s">
        <v>92</v>
      </c>
    </row>
    <row r="11">
      <c r="A11" s="6" t="s">
        <v>24</v>
      </c>
      <c r="B11" s="6" t="s">
        <v>16</v>
      </c>
      <c r="C11" s="6" t="s">
        <v>94</v>
      </c>
      <c r="D11" s="6" t="s">
        <v>96</v>
      </c>
      <c r="E11" s="6" t="s">
        <v>98</v>
      </c>
      <c r="F11" s="6" t="s">
        <v>99</v>
      </c>
      <c r="G11" s="6" t="s">
        <v>101</v>
      </c>
    </row>
    <row r="12">
      <c r="A12" s="7" t="s">
        <v>24</v>
      </c>
      <c r="B12" s="7" t="s">
        <v>19</v>
      </c>
      <c r="C12" s="7" t="s">
        <v>103</v>
      </c>
      <c r="D12" s="7" t="s">
        <v>96</v>
      </c>
      <c r="E12" s="7" t="s">
        <v>98</v>
      </c>
      <c r="F12" s="7" t="s">
        <v>105</v>
      </c>
      <c r="G12" s="7" t="s">
        <v>106</v>
      </c>
    </row>
    <row r="13">
      <c r="A13" s="6" t="s">
        <v>24</v>
      </c>
      <c r="B13" s="6" t="s">
        <v>21</v>
      </c>
      <c r="C13" s="6" t="s">
        <v>112</v>
      </c>
      <c r="D13" s="6" t="s">
        <v>96</v>
      </c>
      <c r="E13" s="6" t="s">
        <v>115</v>
      </c>
      <c r="F13" s="6" t="s">
        <v>118</v>
      </c>
      <c r="G13" s="6" t="s">
        <v>120</v>
      </c>
    </row>
    <row r="14">
      <c r="A14" s="7" t="s">
        <v>24</v>
      </c>
      <c r="B14" s="7" t="s">
        <v>22</v>
      </c>
      <c r="C14" s="7" t="s">
        <v>123</v>
      </c>
      <c r="D14" s="7" t="s">
        <v>34</v>
      </c>
      <c r="E14" s="7" t="s">
        <v>22</v>
      </c>
      <c r="F14" s="7" t="s">
        <v>126</v>
      </c>
      <c r="G14" s="7" t="s">
        <v>127</v>
      </c>
    </row>
    <row r="15">
      <c r="A15" s="6" t="s">
        <v>24</v>
      </c>
      <c r="B15" s="6" t="s">
        <v>25</v>
      </c>
      <c r="C15" s="6" t="s">
        <v>132</v>
      </c>
      <c r="D15" s="6" t="s">
        <v>134</v>
      </c>
      <c r="E15" s="6" t="s">
        <v>136</v>
      </c>
      <c r="F15" s="6" t="s">
        <v>138</v>
      </c>
      <c r="G15" s="6" t="s">
        <v>139</v>
      </c>
    </row>
    <row r="16">
      <c r="A16" s="7" t="s">
        <v>24</v>
      </c>
      <c r="B16" s="7" t="s">
        <v>26</v>
      </c>
      <c r="C16" s="7" t="s">
        <v>143</v>
      </c>
      <c r="D16" s="7" t="s">
        <v>144</v>
      </c>
      <c r="E16" s="7" t="s">
        <v>98</v>
      </c>
      <c r="F16" s="7" t="s">
        <v>146</v>
      </c>
      <c r="G16" s="7" t="s">
        <v>149</v>
      </c>
    </row>
    <row r="17">
      <c r="A17" s="6" t="s">
        <v>24</v>
      </c>
      <c r="B17" s="6" t="s">
        <v>28</v>
      </c>
      <c r="C17" s="6" t="s">
        <v>151</v>
      </c>
      <c r="D17" s="6" t="s">
        <v>152</v>
      </c>
      <c r="E17" s="6" t="s">
        <v>98</v>
      </c>
      <c r="F17" s="6" t="s">
        <v>154</v>
      </c>
      <c r="G17" s="6" t="s">
        <v>155</v>
      </c>
    </row>
    <row r="18">
      <c r="A18" s="7" t="s">
        <v>24</v>
      </c>
      <c r="B18" s="7" t="s">
        <v>29</v>
      </c>
      <c r="C18" s="7" t="s">
        <v>159</v>
      </c>
      <c r="D18" s="7" t="s">
        <v>152</v>
      </c>
      <c r="E18" s="7" t="s">
        <v>160</v>
      </c>
      <c r="F18" s="7" t="s">
        <v>154</v>
      </c>
      <c r="G18" s="7" t="s">
        <v>163</v>
      </c>
    </row>
    <row r="19">
      <c r="A19" s="6" t="s">
        <v>164</v>
      </c>
      <c r="B19" s="6" t="s">
        <v>166</v>
      </c>
      <c r="C19" s="6" t="s">
        <v>168</v>
      </c>
      <c r="D19" s="6" t="s">
        <v>134</v>
      </c>
      <c r="E19" s="6" t="s">
        <v>171</v>
      </c>
      <c r="F19" s="6" t="s">
        <v>172</v>
      </c>
      <c r="G19" s="6" t="s">
        <v>173</v>
      </c>
    </row>
    <row r="20">
      <c r="A20" s="7" t="s">
        <v>164</v>
      </c>
      <c r="B20" s="7" t="s">
        <v>175</v>
      </c>
      <c r="C20" s="7" t="s">
        <v>176</v>
      </c>
      <c r="D20" s="7" t="s">
        <v>134</v>
      </c>
      <c r="E20" s="7" t="s">
        <v>160</v>
      </c>
      <c r="F20" s="7" t="s">
        <v>178</v>
      </c>
      <c r="G20" s="7" t="s">
        <v>179</v>
      </c>
    </row>
    <row r="21" ht="15.75" customHeight="1">
      <c r="A21" s="6" t="s">
        <v>164</v>
      </c>
      <c r="B21" s="6" t="s">
        <v>181</v>
      </c>
      <c r="C21" s="6" t="s">
        <v>182</v>
      </c>
      <c r="D21" s="6" t="s">
        <v>34</v>
      </c>
      <c r="E21" s="6" t="s">
        <v>183</v>
      </c>
      <c r="F21" s="6" t="s">
        <v>184</v>
      </c>
      <c r="G21" s="6" t="s">
        <v>185</v>
      </c>
    </row>
    <row r="22" ht="15.75" customHeight="1">
      <c r="A22" s="7" t="s">
        <v>164</v>
      </c>
      <c r="B22" s="7" t="s">
        <v>187</v>
      </c>
      <c r="C22" s="7" t="s">
        <v>189</v>
      </c>
      <c r="D22" s="7" t="s">
        <v>34</v>
      </c>
      <c r="E22" s="7" t="s">
        <v>171</v>
      </c>
      <c r="F22" s="7" t="s">
        <v>191</v>
      </c>
      <c r="G22" s="7" t="s">
        <v>192</v>
      </c>
    </row>
    <row r="23" ht="15.75" customHeight="1">
      <c r="A23" s="6" t="s">
        <v>193</v>
      </c>
      <c r="B23" s="6" t="s">
        <v>194</v>
      </c>
      <c r="C23" s="6" t="s">
        <v>195</v>
      </c>
      <c r="D23" s="6" t="s">
        <v>144</v>
      </c>
      <c r="E23" s="6" t="s">
        <v>98</v>
      </c>
      <c r="F23" s="6" t="s">
        <v>196</v>
      </c>
      <c r="G23" s="6" t="s">
        <v>197</v>
      </c>
    </row>
    <row r="24" ht="15.75" customHeight="1">
      <c r="A24" s="7" t="s">
        <v>193</v>
      </c>
      <c r="B24" s="7" t="s">
        <v>199</v>
      </c>
      <c r="C24" s="7" t="s">
        <v>200</v>
      </c>
      <c r="D24" s="7" t="s">
        <v>144</v>
      </c>
      <c r="E24" s="7" t="s">
        <v>201</v>
      </c>
      <c r="F24" s="7" t="s">
        <v>203</v>
      </c>
      <c r="G24" s="7" t="s">
        <v>204</v>
      </c>
    </row>
    <row r="25" ht="15.75" customHeight="1">
      <c r="A25" s="6" t="s">
        <v>193</v>
      </c>
      <c r="B25" s="6" t="s">
        <v>205</v>
      </c>
      <c r="C25" s="6" t="s">
        <v>206</v>
      </c>
      <c r="D25" s="6" t="s">
        <v>144</v>
      </c>
      <c r="E25" s="6" t="s">
        <v>201</v>
      </c>
      <c r="F25" s="6" t="s">
        <v>207</v>
      </c>
      <c r="G25" s="6" t="s">
        <v>208</v>
      </c>
    </row>
    <row r="26" ht="15.75" customHeight="1">
      <c r="A26" s="7" t="s">
        <v>193</v>
      </c>
      <c r="B26" s="7" t="s">
        <v>210</v>
      </c>
      <c r="C26" s="7" t="s">
        <v>211</v>
      </c>
      <c r="D26" s="7" t="s">
        <v>152</v>
      </c>
      <c r="E26" s="7" t="s">
        <v>98</v>
      </c>
      <c r="F26" s="7" t="s">
        <v>212</v>
      </c>
      <c r="G26" s="7" t="s">
        <v>213</v>
      </c>
    </row>
    <row r="27" ht="15.75" customHeight="1">
      <c r="A27" s="6" t="s">
        <v>193</v>
      </c>
      <c r="B27" s="6" t="s">
        <v>214</v>
      </c>
      <c r="C27" s="6" t="s">
        <v>215</v>
      </c>
      <c r="D27" s="6" t="s">
        <v>152</v>
      </c>
      <c r="E27" s="6" t="s">
        <v>98</v>
      </c>
      <c r="F27" s="6" t="s">
        <v>216</v>
      </c>
      <c r="G27" s="6" t="s">
        <v>149</v>
      </c>
    </row>
    <row r="28" ht="15.75" customHeight="1">
      <c r="A28" s="7" t="s">
        <v>193</v>
      </c>
      <c r="B28" s="7" t="s">
        <v>218</v>
      </c>
      <c r="C28" s="7" t="s">
        <v>219</v>
      </c>
      <c r="D28" s="7" t="s">
        <v>152</v>
      </c>
      <c r="E28" s="7" t="s">
        <v>160</v>
      </c>
      <c r="F28" s="7" t="s">
        <v>220</v>
      </c>
      <c r="G28" s="7" t="s">
        <v>163</v>
      </c>
    </row>
    <row r="29" ht="15.75" customHeight="1">
      <c r="A29" s="6" t="s">
        <v>193</v>
      </c>
      <c r="B29" s="6" t="s">
        <v>222</v>
      </c>
      <c r="C29" s="6" t="s">
        <v>223</v>
      </c>
      <c r="D29" s="6" t="s">
        <v>144</v>
      </c>
      <c r="E29" s="6" t="s">
        <v>98</v>
      </c>
      <c r="F29" s="6" t="s">
        <v>225</v>
      </c>
      <c r="G29" s="6" t="s">
        <v>226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2.0"/>
    <col customWidth="1" min="3" max="3" width="26.0"/>
    <col customWidth="1" min="4" max="4" width="17.0"/>
    <col customWidth="1" min="5" max="5" width="34.0"/>
    <col customWidth="1" min="6" max="6" width="40.0"/>
    <col customWidth="1" min="7" max="26" width="8.71"/>
  </cols>
  <sheetData>
    <row r="1">
      <c r="A1" s="1" t="s">
        <v>1</v>
      </c>
    </row>
    <row r="2">
      <c r="A2" s="2" t="s">
        <v>5</v>
      </c>
    </row>
    <row r="4">
      <c r="A4" s="4" t="s">
        <v>51</v>
      </c>
      <c r="B4" s="4" t="s">
        <v>53</v>
      </c>
      <c r="C4" s="4" t="s">
        <v>55</v>
      </c>
      <c r="D4" s="4" t="s">
        <v>22</v>
      </c>
      <c r="E4" s="4" t="s">
        <v>61</v>
      </c>
      <c r="F4" s="4" t="s">
        <v>65</v>
      </c>
    </row>
    <row r="5">
      <c r="A5" s="6" t="s">
        <v>104</v>
      </c>
      <c r="B5" s="6" t="s">
        <v>107</v>
      </c>
      <c r="C5" s="6" t="s">
        <v>108</v>
      </c>
      <c r="D5" s="6" t="s">
        <v>110</v>
      </c>
      <c r="E5" s="6" t="s">
        <v>113</v>
      </c>
      <c r="F5" s="6" t="s">
        <v>116</v>
      </c>
    </row>
    <row r="6">
      <c r="A6" s="7" t="s">
        <v>122</v>
      </c>
      <c r="B6" s="7" t="s">
        <v>124</v>
      </c>
      <c r="C6" s="7" t="s">
        <v>125</v>
      </c>
      <c r="D6" s="7" t="s">
        <v>110</v>
      </c>
      <c r="E6" s="7" t="s">
        <v>128</v>
      </c>
      <c r="F6" s="7" t="s">
        <v>130</v>
      </c>
    </row>
    <row r="7">
      <c r="A7" s="6" t="s">
        <v>135</v>
      </c>
      <c r="B7" s="6" t="s">
        <v>137</v>
      </c>
      <c r="C7" s="6" t="s">
        <v>140</v>
      </c>
      <c r="D7" s="6" t="s">
        <v>110</v>
      </c>
      <c r="E7" s="6" t="s">
        <v>141</v>
      </c>
      <c r="F7" s="6" t="s">
        <v>142</v>
      </c>
    </row>
    <row r="8">
      <c r="A8" s="7" t="s">
        <v>145</v>
      </c>
      <c r="B8" s="7" t="s">
        <v>147</v>
      </c>
      <c r="C8" s="7" t="s">
        <v>150</v>
      </c>
      <c r="D8" s="7" t="s">
        <v>110</v>
      </c>
      <c r="E8" s="7" t="s">
        <v>141</v>
      </c>
      <c r="F8" s="7" t="s">
        <v>153</v>
      </c>
    </row>
    <row r="9">
      <c r="A9" s="6" t="s">
        <v>156</v>
      </c>
      <c r="B9" s="6" t="s">
        <v>157</v>
      </c>
      <c r="C9" s="6" t="s">
        <v>158</v>
      </c>
      <c r="D9" s="6" t="s">
        <v>110</v>
      </c>
      <c r="E9" s="6" t="s">
        <v>141</v>
      </c>
      <c r="F9" s="6" t="s">
        <v>161</v>
      </c>
    </row>
    <row r="10">
      <c r="A10" s="7" t="s">
        <v>165</v>
      </c>
      <c r="B10" s="7" t="s">
        <v>167</v>
      </c>
      <c r="C10" s="7" t="s">
        <v>169</v>
      </c>
      <c r="D10" s="7" t="s">
        <v>110</v>
      </c>
      <c r="E10" s="7" t="s">
        <v>141</v>
      </c>
      <c r="F10" s="7" t="s">
        <v>174</v>
      </c>
    </row>
    <row r="11">
      <c r="A11" s="6" t="s">
        <v>242</v>
      </c>
      <c r="B11" s="6" t="s">
        <v>243</v>
      </c>
      <c r="C11" s="6" t="s">
        <v>244</v>
      </c>
      <c r="D11" s="6" t="s">
        <v>110</v>
      </c>
      <c r="E11" s="6" t="s">
        <v>141</v>
      </c>
      <c r="F11" s="6" t="s">
        <v>245</v>
      </c>
    </row>
    <row r="12">
      <c r="A12" s="7" t="s">
        <v>247</v>
      </c>
      <c r="B12" s="7" t="s">
        <v>248</v>
      </c>
      <c r="C12" s="7" t="s">
        <v>249</v>
      </c>
      <c r="D12" s="7" t="s">
        <v>110</v>
      </c>
      <c r="E12" s="7" t="s">
        <v>141</v>
      </c>
      <c r="F12" s="7" t="s">
        <v>252</v>
      </c>
    </row>
    <row r="13">
      <c r="A13" s="6" t="s">
        <v>254</v>
      </c>
      <c r="B13" s="6" t="s">
        <v>256</v>
      </c>
      <c r="C13" s="6" t="s">
        <v>257</v>
      </c>
      <c r="D13" s="6" t="s">
        <v>258</v>
      </c>
      <c r="E13" s="6" t="s">
        <v>259</v>
      </c>
      <c r="F13" s="6" t="s">
        <v>260</v>
      </c>
    </row>
    <row r="14">
      <c r="A14" s="7" t="s">
        <v>261</v>
      </c>
      <c r="B14" s="7" t="s">
        <v>262</v>
      </c>
      <c r="C14" s="7" t="s">
        <v>263</v>
      </c>
      <c r="D14" s="7" t="s">
        <v>266</v>
      </c>
      <c r="E14" s="7" t="s">
        <v>267</v>
      </c>
      <c r="F14" s="7" t="s">
        <v>269</v>
      </c>
    </row>
    <row r="15">
      <c r="A15" s="9" t="s">
        <v>271</v>
      </c>
      <c r="B15" s="9" t="s">
        <v>278</v>
      </c>
      <c r="C15" s="9" t="s">
        <v>280</v>
      </c>
      <c r="D15" s="9" t="s">
        <v>282</v>
      </c>
      <c r="E15" s="9" t="s">
        <v>283</v>
      </c>
      <c r="F15" s="9" t="s">
        <v>284</v>
      </c>
    </row>
    <row r="16">
      <c r="A16" s="9" t="s">
        <v>285</v>
      </c>
      <c r="B16" s="9" t="s">
        <v>286</v>
      </c>
      <c r="C16" s="9" t="s">
        <v>287</v>
      </c>
      <c r="D16" s="9" t="s">
        <v>289</v>
      </c>
      <c r="E16" s="9" t="s">
        <v>290</v>
      </c>
      <c r="F16" s="9" t="s">
        <v>291</v>
      </c>
    </row>
    <row r="17">
      <c r="A17" s="9" t="s">
        <v>293</v>
      </c>
      <c r="B17" s="9" t="s">
        <v>295</v>
      </c>
      <c r="C17" s="9" t="s">
        <v>296</v>
      </c>
      <c r="D17" s="9" t="s">
        <v>289</v>
      </c>
      <c r="E17" s="9" t="s">
        <v>297</v>
      </c>
      <c r="F17" s="9" t="s">
        <v>299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0"/>
    <col customWidth="1" min="3" max="3" width="15.0"/>
    <col customWidth="1" min="4" max="4" width="11.0"/>
    <col customWidth="1" min="5" max="5" width="19.0"/>
    <col customWidth="1" min="6" max="6" width="20.0"/>
    <col customWidth="1" min="7" max="7" width="13.0"/>
    <col customWidth="1" min="8" max="8" width="16.0"/>
    <col customWidth="1" min="9" max="9" width="20.0"/>
    <col customWidth="1" min="10" max="10" width="11.0"/>
    <col customWidth="1" min="11" max="11" width="12.0"/>
    <col customWidth="1" min="12" max="12" width="11.0"/>
    <col customWidth="1" min="13" max="14" width="12.0"/>
    <col customWidth="1" min="15" max="26" width="8.71"/>
  </cols>
  <sheetData>
    <row r="1">
      <c r="A1" s="3" t="s">
        <v>4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19</v>
      </c>
      <c r="I1" s="3" t="s">
        <v>21</v>
      </c>
      <c r="J1" s="3" t="s">
        <v>22</v>
      </c>
      <c r="K1" s="3" t="s">
        <v>25</v>
      </c>
      <c r="L1" s="3" t="s">
        <v>26</v>
      </c>
      <c r="M1" s="3" t="s">
        <v>28</v>
      </c>
      <c r="N1" s="3" t="s">
        <v>29</v>
      </c>
    </row>
    <row r="2">
      <c r="A2" s="2" t="s">
        <v>31</v>
      </c>
      <c r="B2" s="2" t="s">
        <v>35</v>
      </c>
      <c r="C2" s="2" t="s">
        <v>37</v>
      </c>
      <c r="D2" s="2" t="s">
        <v>40</v>
      </c>
      <c r="E2" s="2" t="s">
        <v>42</v>
      </c>
      <c r="F2" s="2" t="s">
        <v>44</v>
      </c>
      <c r="G2" s="8">
        <v>46064.0</v>
      </c>
      <c r="H2" s="8">
        <v>46124.0</v>
      </c>
      <c r="I2" s="8">
        <v>46132.0</v>
      </c>
      <c r="J2" s="2" t="s">
        <v>50</v>
      </c>
      <c r="K2" s="2">
        <v>8.0</v>
      </c>
      <c r="L2" s="2">
        <v>400.0</v>
      </c>
      <c r="M2" s="2">
        <v>26.0</v>
      </c>
      <c r="N2" s="2">
        <v>10400.0</v>
      </c>
    </row>
    <row r="3">
      <c r="A3" s="2" t="s">
        <v>56</v>
      </c>
      <c r="B3" s="2" t="s">
        <v>59</v>
      </c>
      <c r="C3" s="2" t="s">
        <v>64</v>
      </c>
      <c r="D3" s="2" t="s">
        <v>66</v>
      </c>
      <c r="E3" s="2" t="s">
        <v>68</v>
      </c>
      <c r="F3" s="2" t="s">
        <v>69</v>
      </c>
      <c r="G3" s="8">
        <v>46007.0</v>
      </c>
      <c r="H3" s="8">
        <v>46037.0</v>
      </c>
      <c r="I3" s="8">
        <v>46037.0</v>
      </c>
      <c r="J3" s="2" t="s">
        <v>50</v>
      </c>
      <c r="K3" s="2">
        <v>0.0</v>
      </c>
      <c r="L3" s="2">
        <v>600.0</v>
      </c>
      <c r="M3" s="2">
        <v>46.0</v>
      </c>
      <c r="N3" s="2">
        <v>27600.0</v>
      </c>
    </row>
    <row r="4">
      <c r="A4" s="2" t="s">
        <v>78</v>
      </c>
      <c r="B4" s="2" t="s">
        <v>79</v>
      </c>
      <c r="C4" s="2" t="s">
        <v>81</v>
      </c>
      <c r="D4" s="2" t="s">
        <v>84</v>
      </c>
      <c r="E4" s="2" t="s">
        <v>42</v>
      </c>
      <c r="F4" s="2" t="s">
        <v>86</v>
      </c>
      <c r="G4" s="8">
        <v>46162.0</v>
      </c>
      <c r="H4" s="8">
        <v>46227.0</v>
      </c>
      <c r="I4" s="8"/>
      <c r="J4" s="2" t="s">
        <v>89</v>
      </c>
      <c r="K4" s="2"/>
      <c r="L4" s="2">
        <v>600.0</v>
      </c>
      <c r="M4" s="2">
        <v>30.0</v>
      </c>
      <c r="N4" s="2">
        <v>18000.0</v>
      </c>
    </row>
    <row r="5">
      <c r="A5" s="2" t="s">
        <v>93</v>
      </c>
      <c r="B5" s="2" t="s">
        <v>79</v>
      </c>
      <c r="C5" s="2" t="s">
        <v>81</v>
      </c>
      <c r="D5" s="2" t="s">
        <v>84</v>
      </c>
      <c r="E5" s="2" t="s">
        <v>42</v>
      </c>
      <c r="F5" s="2" t="s">
        <v>102</v>
      </c>
      <c r="G5" s="8">
        <v>46027.0</v>
      </c>
      <c r="H5" s="8">
        <v>46092.0</v>
      </c>
      <c r="I5" s="8">
        <v>46105.0</v>
      </c>
      <c r="J5" s="2" t="s">
        <v>50</v>
      </c>
      <c r="K5" s="2">
        <v>13.0</v>
      </c>
      <c r="L5" s="2">
        <v>200.0</v>
      </c>
      <c r="M5" s="2">
        <v>30.0</v>
      </c>
      <c r="N5" s="2">
        <v>6000.0</v>
      </c>
    </row>
    <row r="6">
      <c r="A6" s="2" t="s">
        <v>109</v>
      </c>
      <c r="B6" s="2" t="s">
        <v>111</v>
      </c>
      <c r="C6" s="2" t="s">
        <v>114</v>
      </c>
      <c r="D6" s="2" t="s">
        <v>117</v>
      </c>
      <c r="E6" s="2" t="s">
        <v>119</v>
      </c>
      <c r="F6" s="2" t="s">
        <v>121</v>
      </c>
      <c r="G6" s="8">
        <v>46186.0</v>
      </c>
      <c r="H6" s="8">
        <v>46231.0</v>
      </c>
      <c r="I6" s="8"/>
      <c r="J6" s="2" t="s">
        <v>89</v>
      </c>
      <c r="K6" s="2"/>
      <c r="L6" s="2">
        <v>250.0</v>
      </c>
      <c r="M6" s="2">
        <v>11.0</v>
      </c>
      <c r="N6" s="2">
        <v>2750.0</v>
      </c>
    </row>
    <row r="7">
      <c r="A7" s="2" t="s">
        <v>129</v>
      </c>
      <c r="B7" s="2" t="s">
        <v>131</v>
      </c>
      <c r="C7" s="2" t="s">
        <v>133</v>
      </c>
      <c r="D7" s="2" t="s">
        <v>117</v>
      </c>
      <c r="E7" s="2" t="s">
        <v>119</v>
      </c>
      <c r="F7" s="2" t="s">
        <v>102</v>
      </c>
      <c r="G7" s="8">
        <v>46102.0</v>
      </c>
      <c r="H7" s="8">
        <v>46147.0</v>
      </c>
      <c r="I7" s="8">
        <v>46147.0</v>
      </c>
      <c r="J7" s="2" t="s">
        <v>50</v>
      </c>
      <c r="K7" s="2">
        <v>0.0</v>
      </c>
      <c r="L7" s="2">
        <v>150.0</v>
      </c>
      <c r="M7" s="2">
        <v>19.5</v>
      </c>
      <c r="N7" s="2">
        <v>2925.0</v>
      </c>
    </row>
    <row r="8">
      <c r="A8" s="2" t="s">
        <v>148</v>
      </c>
      <c r="B8" s="2" t="s">
        <v>131</v>
      </c>
      <c r="C8" s="2" t="s">
        <v>133</v>
      </c>
      <c r="D8" s="2" t="s">
        <v>117</v>
      </c>
      <c r="E8" s="2" t="s">
        <v>119</v>
      </c>
      <c r="F8" s="2" t="s">
        <v>69</v>
      </c>
      <c r="G8" s="8">
        <v>46130.0</v>
      </c>
      <c r="H8" s="8">
        <v>46175.0</v>
      </c>
      <c r="I8" s="8">
        <v>46175.0</v>
      </c>
      <c r="J8" s="2" t="s">
        <v>50</v>
      </c>
      <c r="K8" s="2">
        <v>0.0</v>
      </c>
      <c r="L8" s="2">
        <v>500.0</v>
      </c>
      <c r="M8" s="2">
        <v>19.5</v>
      </c>
      <c r="N8" s="2">
        <v>9750.0</v>
      </c>
    </row>
    <row r="9">
      <c r="A9" s="2" t="s">
        <v>162</v>
      </c>
      <c r="B9" s="2" t="s">
        <v>79</v>
      </c>
      <c r="C9" s="2" t="s">
        <v>81</v>
      </c>
      <c r="D9" s="2" t="s">
        <v>84</v>
      </c>
      <c r="E9" s="2" t="s">
        <v>42</v>
      </c>
      <c r="F9" s="2" t="s">
        <v>170</v>
      </c>
      <c r="G9" s="8">
        <v>46111.0</v>
      </c>
      <c r="H9" s="8">
        <v>46176.0</v>
      </c>
      <c r="I9" s="8">
        <v>46187.0</v>
      </c>
      <c r="J9" s="2" t="s">
        <v>50</v>
      </c>
      <c r="K9" s="2">
        <v>11.0</v>
      </c>
      <c r="L9" s="2">
        <v>250.0</v>
      </c>
      <c r="M9" s="2">
        <v>30.0</v>
      </c>
      <c r="N9" s="2">
        <v>7500.0</v>
      </c>
    </row>
    <row r="10">
      <c r="A10" s="2" t="s">
        <v>177</v>
      </c>
      <c r="B10" s="2" t="s">
        <v>59</v>
      </c>
      <c r="C10" s="2" t="s">
        <v>64</v>
      </c>
      <c r="D10" s="2" t="s">
        <v>66</v>
      </c>
      <c r="E10" s="2" t="s">
        <v>68</v>
      </c>
      <c r="F10" s="2" t="s">
        <v>180</v>
      </c>
      <c r="G10" s="8">
        <v>46109.0</v>
      </c>
      <c r="H10" s="8">
        <v>46139.0</v>
      </c>
      <c r="I10" s="8">
        <v>46140.0</v>
      </c>
      <c r="J10" s="2" t="s">
        <v>50</v>
      </c>
      <c r="K10" s="2">
        <v>1.0</v>
      </c>
      <c r="L10" s="2">
        <v>500.0</v>
      </c>
      <c r="M10" s="2">
        <v>46.0</v>
      </c>
      <c r="N10" s="2">
        <v>23000.0</v>
      </c>
    </row>
    <row r="11">
      <c r="A11" s="2" t="s">
        <v>186</v>
      </c>
      <c r="B11" s="2" t="s">
        <v>188</v>
      </c>
      <c r="C11" s="2" t="s">
        <v>190</v>
      </c>
      <c r="D11" s="2" t="s">
        <v>40</v>
      </c>
      <c r="E11" s="2" t="s">
        <v>42</v>
      </c>
      <c r="F11" s="2" t="s">
        <v>102</v>
      </c>
      <c r="G11" s="8">
        <v>46169.0</v>
      </c>
      <c r="H11" s="8">
        <v>46229.0</v>
      </c>
      <c r="I11" s="8"/>
      <c r="J11" s="2" t="s">
        <v>89</v>
      </c>
      <c r="K11" s="2"/>
      <c r="L11" s="2">
        <v>500.0</v>
      </c>
      <c r="M11" s="2">
        <v>22.0</v>
      </c>
      <c r="N11" s="2">
        <v>11000.0</v>
      </c>
    </row>
    <row r="12">
      <c r="A12" s="2" t="s">
        <v>198</v>
      </c>
      <c r="B12" s="2" t="s">
        <v>79</v>
      </c>
      <c r="C12" s="2" t="s">
        <v>81</v>
      </c>
      <c r="D12" s="2" t="s">
        <v>84</v>
      </c>
      <c r="E12" s="2" t="s">
        <v>42</v>
      </c>
      <c r="F12" s="2" t="s">
        <v>202</v>
      </c>
      <c r="G12" s="8">
        <v>46059.0</v>
      </c>
      <c r="H12" s="8">
        <v>46124.0</v>
      </c>
      <c r="I12" s="8">
        <v>46137.0</v>
      </c>
      <c r="J12" s="2" t="s">
        <v>50</v>
      </c>
      <c r="K12" s="2">
        <v>13.0</v>
      </c>
      <c r="L12" s="2">
        <v>250.0</v>
      </c>
      <c r="M12" s="2">
        <v>30.0</v>
      </c>
      <c r="N12" s="2">
        <v>7500.0</v>
      </c>
    </row>
    <row r="13">
      <c r="A13" s="2" t="s">
        <v>209</v>
      </c>
      <c r="B13" s="2" t="s">
        <v>111</v>
      </c>
      <c r="C13" s="2" t="s">
        <v>114</v>
      </c>
      <c r="D13" s="2" t="s">
        <v>117</v>
      </c>
      <c r="E13" s="2" t="s">
        <v>119</v>
      </c>
      <c r="F13" s="2" t="s">
        <v>69</v>
      </c>
      <c r="G13" s="8">
        <v>46017.0</v>
      </c>
      <c r="H13" s="8">
        <v>46062.0</v>
      </c>
      <c r="I13" s="8">
        <v>46063.0</v>
      </c>
      <c r="J13" s="2" t="s">
        <v>50</v>
      </c>
      <c r="K13" s="2">
        <v>1.0</v>
      </c>
      <c r="L13" s="2">
        <v>600.0</v>
      </c>
      <c r="M13" s="2">
        <v>11.0</v>
      </c>
      <c r="N13" s="2">
        <v>6600.0</v>
      </c>
    </row>
    <row r="14">
      <c r="A14" s="2" t="s">
        <v>217</v>
      </c>
      <c r="B14" s="2" t="s">
        <v>188</v>
      </c>
      <c r="C14" s="2" t="s">
        <v>190</v>
      </c>
      <c r="D14" s="2" t="s">
        <v>40</v>
      </c>
      <c r="E14" s="2" t="s">
        <v>42</v>
      </c>
      <c r="F14" s="2" t="s">
        <v>221</v>
      </c>
      <c r="G14" s="8">
        <v>46101.0</v>
      </c>
      <c r="H14" s="8">
        <v>46161.0</v>
      </c>
      <c r="I14" s="8">
        <v>46173.0</v>
      </c>
      <c r="J14" s="2" t="s">
        <v>50</v>
      </c>
      <c r="K14" s="2">
        <v>12.0</v>
      </c>
      <c r="L14" s="2">
        <v>400.0</v>
      </c>
      <c r="M14" s="2">
        <v>22.0</v>
      </c>
      <c r="N14" s="2">
        <v>8800.0</v>
      </c>
    </row>
    <row r="15">
      <c r="A15" s="2" t="s">
        <v>224</v>
      </c>
      <c r="B15" s="2" t="s">
        <v>131</v>
      </c>
      <c r="C15" s="2" t="s">
        <v>133</v>
      </c>
      <c r="D15" s="2" t="s">
        <v>117</v>
      </c>
      <c r="E15" s="2" t="s">
        <v>119</v>
      </c>
      <c r="F15" s="2" t="s">
        <v>227</v>
      </c>
      <c r="G15" s="8">
        <v>46165.0</v>
      </c>
      <c r="H15" s="8">
        <v>46210.0</v>
      </c>
      <c r="I15" s="8">
        <v>46210.0</v>
      </c>
      <c r="J15" s="2" t="s">
        <v>50</v>
      </c>
      <c r="K15" s="2">
        <v>0.0</v>
      </c>
      <c r="L15" s="2">
        <v>400.0</v>
      </c>
      <c r="M15" s="2">
        <v>19.5</v>
      </c>
      <c r="N15" s="2">
        <v>7800.0</v>
      </c>
    </row>
    <row r="16">
      <c r="A16" s="2" t="s">
        <v>228</v>
      </c>
      <c r="B16" s="2" t="s">
        <v>79</v>
      </c>
      <c r="C16" s="2" t="s">
        <v>81</v>
      </c>
      <c r="D16" s="2" t="s">
        <v>84</v>
      </c>
      <c r="E16" s="2" t="s">
        <v>42</v>
      </c>
      <c r="F16" s="2" t="s">
        <v>44</v>
      </c>
      <c r="G16" s="8">
        <v>46063.0</v>
      </c>
      <c r="H16" s="8">
        <v>46128.0</v>
      </c>
      <c r="I16" s="8">
        <v>46139.0</v>
      </c>
      <c r="J16" s="2" t="s">
        <v>50</v>
      </c>
      <c r="K16" s="2">
        <v>11.0</v>
      </c>
      <c r="L16" s="2">
        <v>150.0</v>
      </c>
      <c r="M16" s="2">
        <v>30.0</v>
      </c>
      <c r="N16" s="2">
        <v>4500.0</v>
      </c>
    </row>
    <row r="17">
      <c r="A17" s="2" t="s">
        <v>229</v>
      </c>
      <c r="B17" s="2" t="s">
        <v>188</v>
      </c>
      <c r="C17" s="2" t="s">
        <v>190</v>
      </c>
      <c r="D17" s="2" t="s">
        <v>40</v>
      </c>
      <c r="E17" s="2" t="s">
        <v>42</v>
      </c>
      <c r="F17" s="2" t="s">
        <v>227</v>
      </c>
      <c r="G17" s="8">
        <v>46122.0</v>
      </c>
      <c r="H17" s="8">
        <v>46182.0</v>
      </c>
      <c r="I17" s="8">
        <v>46188.0</v>
      </c>
      <c r="J17" s="2" t="s">
        <v>50</v>
      </c>
      <c r="K17" s="2">
        <v>6.0</v>
      </c>
      <c r="L17" s="2">
        <v>300.0</v>
      </c>
      <c r="M17" s="2">
        <v>22.0</v>
      </c>
      <c r="N17" s="2">
        <v>6600.0</v>
      </c>
    </row>
    <row r="18">
      <c r="A18" s="2" t="s">
        <v>230</v>
      </c>
      <c r="B18" s="2" t="s">
        <v>35</v>
      </c>
      <c r="C18" s="2" t="s">
        <v>37</v>
      </c>
      <c r="D18" s="2" t="s">
        <v>40</v>
      </c>
      <c r="E18" s="2" t="s">
        <v>42</v>
      </c>
      <c r="F18" s="2" t="s">
        <v>102</v>
      </c>
      <c r="G18" s="8">
        <v>46118.0</v>
      </c>
      <c r="H18" s="8">
        <v>46178.0</v>
      </c>
      <c r="I18" s="8">
        <v>46183.0</v>
      </c>
      <c r="J18" s="2" t="s">
        <v>50</v>
      </c>
      <c r="K18" s="2">
        <v>5.0</v>
      </c>
      <c r="L18" s="2">
        <v>250.0</v>
      </c>
      <c r="M18" s="2">
        <v>26.0</v>
      </c>
      <c r="N18" s="2">
        <v>6500.0</v>
      </c>
    </row>
    <row r="19">
      <c r="A19" s="2" t="s">
        <v>231</v>
      </c>
      <c r="B19" s="2" t="s">
        <v>79</v>
      </c>
      <c r="C19" s="2" t="s">
        <v>81</v>
      </c>
      <c r="D19" s="2" t="s">
        <v>84</v>
      </c>
      <c r="E19" s="2" t="s">
        <v>42</v>
      </c>
      <c r="F19" s="2" t="s">
        <v>232</v>
      </c>
      <c r="G19" s="8">
        <v>46007.0</v>
      </c>
      <c r="H19" s="8">
        <v>46072.0</v>
      </c>
      <c r="I19" s="8">
        <v>46079.0</v>
      </c>
      <c r="J19" s="2" t="s">
        <v>50</v>
      </c>
      <c r="K19" s="2">
        <v>7.0</v>
      </c>
      <c r="L19" s="2">
        <v>200.0</v>
      </c>
      <c r="M19" s="2">
        <v>30.0</v>
      </c>
      <c r="N19" s="2">
        <v>6000.0</v>
      </c>
    </row>
    <row r="20">
      <c r="A20" s="2" t="s">
        <v>233</v>
      </c>
      <c r="B20" s="2" t="s">
        <v>79</v>
      </c>
      <c r="C20" s="2" t="s">
        <v>81</v>
      </c>
      <c r="D20" s="2" t="s">
        <v>84</v>
      </c>
      <c r="E20" s="2" t="s">
        <v>42</v>
      </c>
      <c r="F20" s="2" t="s">
        <v>170</v>
      </c>
      <c r="G20" s="8">
        <v>46029.0</v>
      </c>
      <c r="H20" s="8">
        <v>46094.0</v>
      </c>
      <c r="I20" s="8">
        <v>46113.0</v>
      </c>
      <c r="J20" s="2" t="s">
        <v>50</v>
      </c>
      <c r="K20" s="2">
        <v>19.0</v>
      </c>
      <c r="L20" s="2">
        <v>600.0</v>
      </c>
      <c r="M20" s="2">
        <v>30.0</v>
      </c>
      <c r="N20" s="2">
        <v>18000.0</v>
      </c>
    </row>
    <row r="21" ht="15.75" customHeight="1">
      <c r="A21" s="2" t="s">
        <v>234</v>
      </c>
      <c r="B21" s="2" t="s">
        <v>79</v>
      </c>
      <c r="C21" s="2" t="s">
        <v>81</v>
      </c>
      <c r="D21" s="2" t="s">
        <v>84</v>
      </c>
      <c r="E21" s="2" t="s">
        <v>42</v>
      </c>
      <c r="F21" s="2" t="s">
        <v>221</v>
      </c>
      <c r="G21" s="8">
        <v>46187.0</v>
      </c>
      <c r="H21" s="8">
        <v>46252.0</v>
      </c>
      <c r="I21" s="8"/>
      <c r="J21" s="2" t="s">
        <v>89</v>
      </c>
      <c r="K21" s="2"/>
      <c r="L21" s="2">
        <v>250.0</v>
      </c>
      <c r="M21" s="2">
        <v>30.0</v>
      </c>
      <c r="N21" s="2">
        <v>7500.0</v>
      </c>
    </row>
    <row r="22" ht="15.75" customHeight="1">
      <c r="A22" s="2" t="s">
        <v>235</v>
      </c>
      <c r="B22" s="2" t="s">
        <v>236</v>
      </c>
      <c r="C22" s="2" t="s">
        <v>237</v>
      </c>
      <c r="D22" s="2" t="s">
        <v>66</v>
      </c>
      <c r="E22" s="2" t="s">
        <v>68</v>
      </c>
      <c r="F22" s="2" t="s">
        <v>227</v>
      </c>
      <c r="G22" s="8">
        <v>46102.0</v>
      </c>
      <c r="H22" s="8">
        <v>46132.0</v>
      </c>
      <c r="I22" s="8">
        <v>46132.0</v>
      </c>
      <c r="J22" s="2" t="s">
        <v>50</v>
      </c>
      <c r="K22" s="2">
        <v>0.0</v>
      </c>
      <c r="L22" s="2">
        <v>400.0</v>
      </c>
      <c r="M22" s="2">
        <v>38.0</v>
      </c>
      <c r="N22" s="2">
        <v>15200.0</v>
      </c>
    </row>
    <row r="23" ht="15.75" customHeight="1">
      <c r="A23" s="2" t="s">
        <v>238</v>
      </c>
      <c r="B23" s="2" t="s">
        <v>35</v>
      </c>
      <c r="C23" s="2" t="s">
        <v>37</v>
      </c>
      <c r="D23" s="2" t="s">
        <v>40</v>
      </c>
      <c r="E23" s="2" t="s">
        <v>42</v>
      </c>
      <c r="F23" s="2" t="s">
        <v>170</v>
      </c>
      <c r="G23" s="8">
        <v>46178.0</v>
      </c>
      <c r="H23" s="8">
        <v>46238.0</v>
      </c>
      <c r="I23" s="8"/>
      <c r="J23" s="2" t="s">
        <v>89</v>
      </c>
      <c r="K23" s="2"/>
      <c r="L23" s="2">
        <v>400.0</v>
      </c>
      <c r="M23" s="2">
        <v>26.0</v>
      </c>
      <c r="N23" s="2">
        <v>10400.0</v>
      </c>
    </row>
    <row r="24" ht="15.75" customHeight="1">
      <c r="A24" s="2" t="s">
        <v>239</v>
      </c>
      <c r="B24" s="2" t="s">
        <v>188</v>
      </c>
      <c r="C24" s="2" t="s">
        <v>190</v>
      </c>
      <c r="D24" s="2" t="s">
        <v>40</v>
      </c>
      <c r="E24" s="2" t="s">
        <v>42</v>
      </c>
      <c r="F24" s="2" t="s">
        <v>44</v>
      </c>
      <c r="G24" s="8">
        <v>46142.0</v>
      </c>
      <c r="H24" s="8">
        <v>46202.0</v>
      </c>
      <c r="I24" s="8">
        <v>46207.0</v>
      </c>
      <c r="J24" s="2" t="s">
        <v>50</v>
      </c>
      <c r="K24" s="2">
        <v>5.0</v>
      </c>
      <c r="L24" s="2">
        <v>400.0</v>
      </c>
      <c r="M24" s="2">
        <v>22.0</v>
      </c>
      <c r="N24" s="2">
        <v>8800.0</v>
      </c>
    </row>
    <row r="25" ht="15.75" customHeight="1">
      <c r="A25" s="2" t="s">
        <v>240</v>
      </c>
      <c r="B25" s="2" t="s">
        <v>236</v>
      </c>
      <c r="C25" s="2" t="s">
        <v>237</v>
      </c>
      <c r="D25" s="2" t="s">
        <v>66</v>
      </c>
      <c r="E25" s="2" t="s">
        <v>68</v>
      </c>
      <c r="F25" s="2" t="s">
        <v>227</v>
      </c>
      <c r="G25" s="8">
        <v>46018.0</v>
      </c>
      <c r="H25" s="8">
        <v>46048.0</v>
      </c>
      <c r="I25" s="8">
        <v>46048.0</v>
      </c>
      <c r="J25" s="2" t="s">
        <v>50</v>
      </c>
      <c r="K25" s="2">
        <v>0.0</v>
      </c>
      <c r="L25" s="2">
        <v>250.0</v>
      </c>
      <c r="M25" s="2">
        <v>38.0</v>
      </c>
      <c r="N25" s="2">
        <v>9500.0</v>
      </c>
    </row>
    <row r="26" ht="15.75" customHeight="1">
      <c r="A26" s="2" t="s">
        <v>241</v>
      </c>
      <c r="B26" s="2" t="s">
        <v>59</v>
      </c>
      <c r="C26" s="2" t="s">
        <v>64</v>
      </c>
      <c r="D26" s="2" t="s">
        <v>66</v>
      </c>
      <c r="E26" s="2" t="s">
        <v>68</v>
      </c>
      <c r="F26" s="2" t="s">
        <v>69</v>
      </c>
      <c r="G26" s="8">
        <v>46065.0</v>
      </c>
      <c r="H26" s="8">
        <v>46095.0</v>
      </c>
      <c r="I26" s="8">
        <v>46096.0</v>
      </c>
      <c r="J26" s="2" t="s">
        <v>50</v>
      </c>
      <c r="K26" s="2">
        <v>1.0</v>
      </c>
      <c r="L26" s="2">
        <v>200.0</v>
      </c>
      <c r="M26" s="2">
        <v>46.0</v>
      </c>
      <c r="N26" s="2">
        <v>9200.0</v>
      </c>
    </row>
    <row r="27" ht="15.75" customHeight="1">
      <c r="A27" s="2" t="s">
        <v>246</v>
      </c>
      <c r="B27" s="2" t="s">
        <v>35</v>
      </c>
      <c r="C27" s="2" t="s">
        <v>37</v>
      </c>
      <c r="D27" s="2" t="s">
        <v>40</v>
      </c>
      <c r="E27" s="2" t="s">
        <v>42</v>
      </c>
      <c r="F27" s="2" t="s">
        <v>221</v>
      </c>
      <c r="G27" s="8">
        <v>46035.0</v>
      </c>
      <c r="H27" s="8">
        <v>46095.0</v>
      </c>
      <c r="I27" s="8">
        <v>46101.0</v>
      </c>
      <c r="J27" s="2" t="s">
        <v>50</v>
      </c>
      <c r="K27" s="2">
        <v>6.0</v>
      </c>
      <c r="L27" s="2">
        <v>200.0</v>
      </c>
      <c r="M27" s="2">
        <v>26.0</v>
      </c>
      <c r="N27" s="2">
        <v>5200.0</v>
      </c>
    </row>
    <row r="28" ht="15.75" customHeight="1">
      <c r="A28" s="2" t="s">
        <v>255</v>
      </c>
      <c r="B28" s="2" t="s">
        <v>236</v>
      </c>
      <c r="C28" s="2" t="s">
        <v>237</v>
      </c>
      <c r="D28" s="2" t="s">
        <v>66</v>
      </c>
      <c r="E28" s="2" t="s">
        <v>68</v>
      </c>
      <c r="F28" s="2" t="s">
        <v>69</v>
      </c>
      <c r="G28" s="8">
        <v>46142.0</v>
      </c>
      <c r="H28" s="8">
        <v>46172.0</v>
      </c>
      <c r="I28" s="8">
        <v>46173.0</v>
      </c>
      <c r="J28" s="2" t="s">
        <v>50</v>
      </c>
      <c r="K28" s="2">
        <v>1.0</v>
      </c>
      <c r="L28" s="2">
        <v>150.0</v>
      </c>
      <c r="M28" s="2">
        <v>38.0</v>
      </c>
      <c r="N28" s="2">
        <v>5700.0</v>
      </c>
    </row>
    <row r="29" ht="15.75" customHeight="1">
      <c r="A29" s="2" t="s">
        <v>264</v>
      </c>
      <c r="B29" s="2" t="s">
        <v>236</v>
      </c>
      <c r="C29" s="2" t="s">
        <v>237</v>
      </c>
      <c r="D29" s="2" t="s">
        <v>66</v>
      </c>
      <c r="E29" s="2" t="s">
        <v>68</v>
      </c>
      <c r="F29" s="2" t="s">
        <v>170</v>
      </c>
      <c r="G29" s="8">
        <v>46091.0</v>
      </c>
      <c r="H29" s="8">
        <v>46121.0</v>
      </c>
      <c r="I29" s="8">
        <v>46122.0</v>
      </c>
      <c r="J29" s="2" t="s">
        <v>50</v>
      </c>
      <c r="K29" s="2">
        <v>1.0</v>
      </c>
      <c r="L29" s="2">
        <v>200.0</v>
      </c>
      <c r="M29" s="2">
        <v>38.0</v>
      </c>
      <c r="N29" s="2">
        <v>7600.0</v>
      </c>
    </row>
    <row r="30" ht="15.75" customHeight="1">
      <c r="A30" s="2" t="s">
        <v>276</v>
      </c>
      <c r="B30" s="2" t="s">
        <v>236</v>
      </c>
      <c r="C30" s="2" t="s">
        <v>237</v>
      </c>
      <c r="D30" s="2" t="s">
        <v>66</v>
      </c>
      <c r="E30" s="2" t="s">
        <v>68</v>
      </c>
      <c r="F30" s="2" t="s">
        <v>102</v>
      </c>
      <c r="G30" s="8">
        <v>46081.0</v>
      </c>
      <c r="H30" s="8">
        <v>46111.0</v>
      </c>
      <c r="I30" s="8">
        <v>46112.0</v>
      </c>
      <c r="J30" s="2" t="s">
        <v>50</v>
      </c>
      <c r="K30" s="2">
        <v>1.0</v>
      </c>
      <c r="L30" s="2">
        <v>250.0</v>
      </c>
      <c r="M30" s="2">
        <v>38.0</v>
      </c>
      <c r="N30" s="2">
        <v>9500.0</v>
      </c>
    </row>
    <row r="31" ht="15.75" customHeight="1">
      <c r="A31" s="2" t="s">
        <v>288</v>
      </c>
      <c r="B31" s="2" t="s">
        <v>131</v>
      </c>
      <c r="C31" s="2" t="s">
        <v>133</v>
      </c>
      <c r="D31" s="2" t="s">
        <v>117</v>
      </c>
      <c r="E31" s="2" t="s">
        <v>119</v>
      </c>
      <c r="F31" s="2" t="s">
        <v>294</v>
      </c>
      <c r="G31" s="8">
        <v>46170.0</v>
      </c>
      <c r="H31" s="8">
        <v>46215.0</v>
      </c>
      <c r="I31" s="8">
        <v>46217.0</v>
      </c>
      <c r="J31" s="2" t="s">
        <v>50</v>
      </c>
      <c r="K31" s="2">
        <v>2.0</v>
      </c>
      <c r="L31" s="2">
        <v>400.0</v>
      </c>
      <c r="M31" s="2">
        <v>19.5</v>
      </c>
      <c r="N31" s="2">
        <v>7800.0</v>
      </c>
    </row>
    <row r="32" ht="15.75" customHeight="1">
      <c r="A32" s="2" t="s">
        <v>298</v>
      </c>
      <c r="B32" s="2" t="s">
        <v>59</v>
      </c>
      <c r="C32" s="2" t="s">
        <v>64</v>
      </c>
      <c r="D32" s="2" t="s">
        <v>66</v>
      </c>
      <c r="E32" s="2" t="s">
        <v>68</v>
      </c>
      <c r="F32" s="2" t="s">
        <v>170</v>
      </c>
      <c r="G32" s="8">
        <v>46032.0</v>
      </c>
      <c r="H32" s="8">
        <v>46062.0</v>
      </c>
      <c r="I32" s="8">
        <v>46062.0</v>
      </c>
      <c r="J32" s="2" t="s">
        <v>50</v>
      </c>
      <c r="K32" s="2">
        <v>0.0</v>
      </c>
      <c r="L32" s="2">
        <v>300.0</v>
      </c>
      <c r="M32" s="2">
        <v>46.0</v>
      </c>
      <c r="N32" s="2">
        <v>13800.0</v>
      </c>
    </row>
    <row r="33" ht="15.75" customHeight="1">
      <c r="A33" s="2" t="s">
        <v>302</v>
      </c>
      <c r="B33" s="2" t="s">
        <v>303</v>
      </c>
      <c r="C33" s="2" t="s">
        <v>304</v>
      </c>
      <c r="D33" s="2" t="s">
        <v>117</v>
      </c>
      <c r="E33" s="2" t="s">
        <v>119</v>
      </c>
      <c r="F33" s="2" t="s">
        <v>44</v>
      </c>
      <c r="G33" s="8">
        <v>46161.0</v>
      </c>
      <c r="H33" s="8">
        <v>46206.0</v>
      </c>
      <c r="I33" s="8">
        <v>46207.0</v>
      </c>
      <c r="J33" s="2" t="s">
        <v>50</v>
      </c>
      <c r="K33" s="2">
        <v>1.0</v>
      </c>
      <c r="L33" s="2">
        <v>500.0</v>
      </c>
      <c r="M33" s="2">
        <v>14.25</v>
      </c>
      <c r="N33" s="2">
        <v>7125.0</v>
      </c>
    </row>
    <row r="34" ht="15.75" customHeight="1">
      <c r="A34" s="2" t="s">
        <v>309</v>
      </c>
      <c r="B34" s="2" t="s">
        <v>79</v>
      </c>
      <c r="C34" s="2" t="s">
        <v>81</v>
      </c>
      <c r="D34" s="2" t="s">
        <v>84</v>
      </c>
      <c r="E34" s="2" t="s">
        <v>42</v>
      </c>
      <c r="F34" s="2" t="s">
        <v>86</v>
      </c>
      <c r="G34" s="8">
        <v>46087.0</v>
      </c>
      <c r="H34" s="8">
        <v>46152.0</v>
      </c>
      <c r="I34" s="8">
        <v>46169.0</v>
      </c>
      <c r="J34" s="2" t="s">
        <v>50</v>
      </c>
      <c r="K34" s="2">
        <v>17.0</v>
      </c>
      <c r="L34" s="2">
        <v>500.0</v>
      </c>
      <c r="M34" s="2">
        <v>30.0</v>
      </c>
      <c r="N34" s="2">
        <v>15000.0</v>
      </c>
    </row>
    <row r="35" ht="15.75" customHeight="1">
      <c r="A35" s="2" t="s">
        <v>311</v>
      </c>
      <c r="B35" s="2" t="s">
        <v>188</v>
      </c>
      <c r="C35" s="2" t="s">
        <v>190</v>
      </c>
      <c r="D35" s="2" t="s">
        <v>40</v>
      </c>
      <c r="E35" s="2" t="s">
        <v>42</v>
      </c>
      <c r="F35" s="2" t="s">
        <v>180</v>
      </c>
      <c r="G35" s="8">
        <v>46167.0</v>
      </c>
      <c r="H35" s="8">
        <v>46227.0</v>
      </c>
      <c r="I35" s="8"/>
      <c r="J35" s="2" t="s">
        <v>89</v>
      </c>
      <c r="K35" s="2"/>
      <c r="L35" s="2">
        <v>200.0</v>
      </c>
      <c r="M35" s="2">
        <v>22.0</v>
      </c>
      <c r="N35" s="2">
        <v>4400.0</v>
      </c>
    </row>
    <row r="36" ht="15.75" customHeight="1">
      <c r="A36" s="2" t="s">
        <v>312</v>
      </c>
      <c r="B36" s="2" t="s">
        <v>236</v>
      </c>
      <c r="C36" s="2" t="s">
        <v>237</v>
      </c>
      <c r="D36" s="2" t="s">
        <v>66</v>
      </c>
      <c r="E36" s="2" t="s">
        <v>68</v>
      </c>
      <c r="F36" s="2" t="s">
        <v>121</v>
      </c>
      <c r="G36" s="8">
        <v>46057.0</v>
      </c>
      <c r="H36" s="8">
        <v>46087.0</v>
      </c>
      <c r="I36" s="8">
        <v>46087.0</v>
      </c>
      <c r="J36" s="2" t="s">
        <v>50</v>
      </c>
      <c r="K36" s="2">
        <v>0.0</v>
      </c>
      <c r="L36" s="2">
        <v>250.0</v>
      </c>
      <c r="M36" s="2">
        <v>38.0</v>
      </c>
      <c r="N36" s="2">
        <v>9500.0</v>
      </c>
    </row>
    <row r="37" ht="15.75" customHeight="1">
      <c r="A37" s="2" t="s">
        <v>313</v>
      </c>
      <c r="B37" s="2" t="s">
        <v>79</v>
      </c>
      <c r="C37" s="2" t="s">
        <v>81</v>
      </c>
      <c r="D37" s="2" t="s">
        <v>84</v>
      </c>
      <c r="E37" s="2" t="s">
        <v>42</v>
      </c>
      <c r="F37" s="2" t="s">
        <v>121</v>
      </c>
      <c r="G37" s="8">
        <v>46054.0</v>
      </c>
      <c r="H37" s="8">
        <v>46119.0</v>
      </c>
      <c r="I37" s="8">
        <v>46130.0</v>
      </c>
      <c r="J37" s="2" t="s">
        <v>50</v>
      </c>
      <c r="K37" s="2">
        <v>11.0</v>
      </c>
      <c r="L37" s="2">
        <v>400.0</v>
      </c>
      <c r="M37" s="2">
        <v>30.0</v>
      </c>
      <c r="N37" s="2">
        <v>12000.0</v>
      </c>
    </row>
    <row r="38" ht="15.75" customHeight="1">
      <c r="A38" s="2" t="s">
        <v>315</v>
      </c>
      <c r="B38" s="2" t="s">
        <v>131</v>
      </c>
      <c r="C38" s="2" t="s">
        <v>133</v>
      </c>
      <c r="D38" s="2" t="s">
        <v>117</v>
      </c>
      <c r="E38" s="2" t="s">
        <v>119</v>
      </c>
      <c r="F38" s="2" t="s">
        <v>44</v>
      </c>
      <c r="G38" s="8">
        <v>46057.0</v>
      </c>
      <c r="H38" s="8">
        <v>46102.0</v>
      </c>
      <c r="I38" s="8">
        <v>46102.0</v>
      </c>
      <c r="J38" s="2" t="s">
        <v>50</v>
      </c>
      <c r="K38" s="2">
        <v>0.0</v>
      </c>
      <c r="L38" s="2">
        <v>250.0</v>
      </c>
      <c r="M38" s="2">
        <v>19.5</v>
      </c>
      <c r="N38" s="2">
        <v>4875.0</v>
      </c>
    </row>
    <row r="39" ht="15.75" customHeight="1">
      <c r="A39" s="2" t="s">
        <v>317</v>
      </c>
      <c r="B39" s="2" t="s">
        <v>303</v>
      </c>
      <c r="C39" s="2" t="s">
        <v>304</v>
      </c>
      <c r="D39" s="2" t="s">
        <v>117</v>
      </c>
      <c r="E39" s="2" t="s">
        <v>119</v>
      </c>
      <c r="F39" s="2" t="s">
        <v>180</v>
      </c>
      <c r="G39" s="8">
        <v>46079.0</v>
      </c>
      <c r="H39" s="8">
        <v>46124.0</v>
      </c>
      <c r="I39" s="8">
        <v>46124.0</v>
      </c>
      <c r="J39" s="2" t="s">
        <v>50</v>
      </c>
      <c r="K39" s="2">
        <v>0.0</v>
      </c>
      <c r="L39" s="2">
        <v>250.0</v>
      </c>
      <c r="M39" s="2">
        <v>14.25</v>
      </c>
      <c r="N39" s="2">
        <v>3562.5</v>
      </c>
    </row>
    <row r="40" ht="15.75" customHeight="1">
      <c r="A40" s="2" t="s">
        <v>320</v>
      </c>
      <c r="B40" s="2" t="s">
        <v>35</v>
      </c>
      <c r="C40" s="2" t="s">
        <v>37</v>
      </c>
      <c r="D40" s="2" t="s">
        <v>40</v>
      </c>
      <c r="E40" s="2" t="s">
        <v>42</v>
      </c>
      <c r="F40" s="2" t="s">
        <v>69</v>
      </c>
      <c r="G40" s="8">
        <v>46102.0</v>
      </c>
      <c r="H40" s="8">
        <v>46162.0</v>
      </c>
      <c r="I40" s="8">
        <v>46174.0</v>
      </c>
      <c r="J40" s="2" t="s">
        <v>50</v>
      </c>
      <c r="K40" s="2">
        <v>12.0</v>
      </c>
      <c r="L40" s="2">
        <v>250.0</v>
      </c>
      <c r="M40" s="2">
        <v>26.0</v>
      </c>
      <c r="N40" s="2">
        <v>6500.0</v>
      </c>
    </row>
    <row r="41" ht="15.75" customHeight="1">
      <c r="A41" s="2" t="s">
        <v>322</v>
      </c>
      <c r="B41" s="2" t="s">
        <v>236</v>
      </c>
      <c r="C41" s="2" t="s">
        <v>237</v>
      </c>
      <c r="D41" s="2" t="s">
        <v>66</v>
      </c>
      <c r="E41" s="2" t="s">
        <v>68</v>
      </c>
      <c r="F41" s="2" t="s">
        <v>294</v>
      </c>
      <c r="G41" s="8">
        <v>46096.0</v>
      </c>
      <c r="H41" s="8">
        <v>46126.0</v>
      </c>
      <c r="I41" s="8">
        <v>46126.0</v>
      </c>
      <c r="J41" s="2" t="s">
        <v>50</v>
      </c>
      <c r="K41" s="2">
        <v>0.0</v>
      </c>
      <c r="L41" s="2">
        <v>500.0</v>
      </c>
      <c r="M41" s="2">
        <v>38.0</v>
      </c>
      <c r="N41" s="2">
        <v>19000.0</v>
      </c>
    </row>
    <row r="42" ht="15.75" customHeight="1">
      <c r="A42" s="2" t="s">
        <v>323</v>
      </c>
      <c r="B42" s="2" t="s">
        <v>131</v>
      </c>
      <c r="C42" s="2" t="s">
        <v>133</v>
      </c>
      <c r="D42" s="2" t="s">
        <v>117</v>
      </c>
      <c r="E42" s="2" t="s">
        <v>119</v>
      </c>
      <c r="F42" s="2" t="s">
        <v>44</v>
      </c>
      <c r="G42" s="8">
        <v>46061.0</v>
      </c>
      <c r="H42" s="8">
        <v>46106.0</v>
      </c>
      <c r="I42" s="8">
        <v>46107.0</v>
      </c>
      <c r="J42" s="2" t="s">
        <v>50</v>
      </c>
      <c r="K42" s="2">
        <v>1.0</v>
      </c>
      <c r="L42" s="2">
        <v>500.0</v>
      </c>
      <c r="M42" s="2">
        <v>19.5</v>
      </c>
      <c r="N42" s="2">
        <v>9750.0</v>
      </c>
    </row>
    <row r="43" ht="15.75" customHeight="1">
      <c r="A43" s="2" t="s">
        <v>324</v>
      </c>
      <c r="B43" s="2" t="s">
        <v>59</v>
      </c>
      <c r="C43" s="2" t="s">
        <v>64</v>
      </c>
      <c r="D43" s="2" t="s">
        <v>66</v>
      </c>
      <c r="E43" s="2" t="s">
        <v>68</v>
      </c>
      <c r="F43" s="2" t="s">
        <v>294</v>
      </c>
      <c r="G43" s="8">
        <v>46129.0</v>
      </c>
      <c r="H43" s="8">
        <v>46159.0</v>
      </c>
      <c r="I43" s="8">
        <v>46160.0</v>
      </c>
      <c r="J43" s="2" t="s">
        <v>50</v>
      </c>
      <c r="K43" s="2">
        <v>1.0</v>
      </c>
      <c r="L43" s="2">
        <v>500.0</v>
      </c>
      <c r="M43" s="2">
        <v>46.0</v>
      </c>
      <c r="N43" s="2">
        <v>23000.0</v>
      </c>
    </row>
    <row r="44" ht="15.75" customHeight="1">
      <c r="A44" s="2" t="s">
        <v>325</v>
      </c>
      <c r="B44" s="2" t="s">
        <v>303</v>
      </c>
      <c r="C44" s="2" t="s">
        <v>304</v>
      </c>
      <c r="D44" s="2" t="s">
        <v>117</v>
      </c>
      <c r="E44" s="2" t="s">
        <v>119</v>
      </c>
      <c r="F44" s="2" t="s">
        <v>69</v>
      </c>
      <c r="G44" s="8">
        <v>46053.0</v>
      </c>
      <c r="H44" s="8">
        <v>46098.0</v>
      </c>
      <c r="I44" s="8">
        <v>46099.0</v>
      </c>
      <c r="J44" s="2" t="s">
        <v>50</v>
      </c>
      <c r="K44" s="2">
        <v>1.0</v>
      </c>
      <c r="L44" s="2">
        <v>400.0</v>
      </c>
      <c r="M44" s="2">
        <v>14.25</v>
      </c>
      <c r="N44" s="2">
        <v>5700.0</v>
      </c>
    </row>
    <row r="45" ht="15.75" customHeight="1">
      <c r="A45" s="2" t="s">
        <v>326</v>
      </c>
      <c r="B45" s="2" t="s">
        <v>59</v>
      </c>
      <c r="C45" s="2" t="s">
        <v>64</v>
      </c>
      <c r="D45" s="2" t="s">
        <v>66</v>
      </c>
      <c r="E45" s="2" t="s">
        <v>68</v>
      </c>
      <c r="F45" s="2" t="s">
        <v>170</v>
      </c>
      <c r="G45" s="8">
        <v>46102.0</v>
      </c>
      <c r="H45" s="8">
        <v>46132.0</v>
      </c>
      <c r="I45" s="8">
        <v>46133.0</v>
      </c>
      <c r="J45" s="2" t="s">
        <v>50</v>
      </c>
      <c r="K45" s="2">
        <v>1.0</v>
      </c>
      <c r="L45" s="2">
        <v>500.0</v>
      </c>
      <c r="M45" s="2">
        <v>46.0</v>
      </c>
      <c r="N45" s="2">
        <v>23000.0</v>
      </c>
    </row>
    <row r="46" ht="15.75" customHeight="1">
      <c r="A46" s="2" t="s">
        <v>327</v>
      </c>
      <c r="B46" s="2" t="s">
        <v>188</v>
      </c>
      <c r="C46" s="2" t="s">
        <v>190</v>
      </c>
      <c r="D46" s="2" t="s">
        <v>40</v>
      </c>
      <c r="E46" s="2" t="s">
        <v>42</v>
      </c>
      <c r="F46" s="2" t="s">
        <v>221</v>
      </c>
      <c r="G46" s="8">
        <v>46167.0</v>
      </c>
      <c r="H46" s="8">
        <v>46227.0</v>
      </c>
      <c r="I46" s="8"/>
      <c r="J46" s="2" t="s">
        <v>89</v>
      </c>
      <c r="K46" s="2"/>
      <c r="L46" s="2">
        <v>200.0</v>
      </c>
      <c r="M46" s="2">
        <v>22.0</v>
      </c>
      <c r="N46" s="2">
        <v>4400.0</v>
      </c>
    </row>
    <row r="47" ht="15.75" customHeight="1">
      <c r="A47" s="2" t="s">
        <v>328</v>
      </c>
      <c r="B47" s="2" t="s">
        <v>131</v>
      </c>
      <c r="C47" s="2" t="s">
        <v>133</v>
      </c>
      <c r="D47" s="2" t="s">
        <v>117</v>
      </c>
      <c r="E47" s="2" t="s">
        <v>119</v>
      </c>
      <c r="F47" s="2" t="s">
        <v>232</v>
      </c>
      <c r="G47" s="8">
        <v>46168.0</v>
      </c>
      <c r="H47" s="8">
        <v>46213.0</v>
      </c>
      <c r="I47" s="8">
        <v>46213.0</v>
      </c>
      <c r="J47" s="2" t="s">
        <v>50</v>
      </c>
      <c r="K47" s="2">
        <v>0.0</v>
      </c>
      <c r="L47" s="2">
        <v>500.0</v>
      </c>
      <c r="M47" s="2">
        <v>19.5</v>
      </c>
      <c r="N47" s="2">
        <v>9750.0</v>
      </c>
    </row>
    <row r="48" ht="15.75" customHeight="1">
      <c r="A48" s="2" t="s">
        <v>329</v>
      </c>
      <c r="B48" s="2" t="s">
        <v>35</v>
      </c>
      <c r="C48" s="2" t="s">
        <v>37</v>
      </c>
      <c r="D48" s="2" t="s">
        <v>40</v>
      </c>
      <c r="E48" s="2" t="s">
        <v>42</v>
      </c>
      <c r="F48" s="2" t="s">
        <v>221</v>
      </c>
      <c r="G48" s="8">
        <v>46145.0</v>
      </c>
      <c r="H48" s="8">
        <v>46205.0</v>
      </c>
      <c r="I48" s="8">
        <v>46209.0</v>
      </c>
      <c r="J48" s="2" t="s">
        <v>50</v>
      </c>
      <c r="K48" s="2">
        <v>4.0</v>
      </c>
      <c r="L48" s="2">
        <v>250.0</v>
      </c>
      <c r="M48" s="2">
        <v>26.0</v>
      </c>
      <c r="N48" s="2">
        <v>6500.0</v>
      </c>
    </row>
    <row r="49" ht="15.75" customHeight="1">
      <c r="A49" s="2" t="s">
        <v>330</v>
      </c>
      <c r="B49" s="2" t="s">
        <v>131</v>
      </c>
      <c r="C49" s="2" t="s">
        <v>133</v>
      </c>
      <c r="D49" s="2" t="s">
        <v>117</v>
      </c>
      <c r="E49" s="2" t="s">
        <v>119</v>
      </c>
      <c r="F49" s="2" t="s">
        <v>69</v>
      </c>
      <c r="G49" s="8">
        <v>46138.0</v>
      </c>
      <c r="H49" s="8">
        <v>46183.0</v>
      </c>
      <c r="I49" s="8">
        <v>46183.0</v>
      </c>
      <c r="J49" s="2" t="s">
        <v>50</v>
      </c>
      <c r="K49" s="2">
        <v>0.0</v>
      </c>
      <c r="L49" s="2">
        <v>150.0</v>
      </c>
      <c r="M49" s="2">
        <v>19.5</v>
      </c>
      <c r="N49" s="2">
        <v>2925.0</v>
      </c>
    </row>
    <row r="50" ht="15.75" customHeight="1">
      <c r="A50" s="2" t="s">
        <v>332</v>
      </c>
      <c r="B50" s="2" t="s">
        <v>188</v>
      </c>
      <c r="C50" s="2" t="s">
        <v>190</v>
      </c>
      <c r="D50" s="2" t="s">
        <v>40</v>
      </c>
      <c r="E50" s="2" t="s">
        <v>42</v>
      </c>
      <c r="F50" s="2" t="s">
        <v>121</v>
      </c>
      <c r="G50" s="8">
        <v>46173.0</v>
      </c>
      <c r="H50" s="8">
        <v>46233.0</v>
      </c>
      <c r="I50" s="8"/>
      <c r="J50" s="2" t="s">
        <v>89</v>
      </c>
      <c r="K50" s="2"/>
      <c r="L50" s="2">
        <v>150.0</v>
      </c>
      <c r="M50" s="2">
        <v>22.0</v>
      </c>
      <c r="N50" s="2">
        <v>3300.0</v>
      </c>
    </row>
    <row r="51" ht="15.75" customHeight="1">
      <c r="A51" s="2" t="s">
        <v>335</v>
      </c>
      <c r="B51" s="2" t="s">
        <v>79</v>
      </c>
      <c r="C51" s="2" t="s">
        <v>81</v>
      </c>
      <c r="D51" s="2" t="s">
        <v>84</v>
      </c>
      <c r="E51" s="2" t="s">
        <v>42</v>
      </c>
      <c r="F51" s="2" t="s">
        <v>221</v>
      </c>
      <c r="G51" s="8">
        <v>46011.0</v>
      </c>
      <c r="H51" s="8">
        <v>46076.0</v>
      </c>
      <c r="I51" s="8">
        <v>46087.0</v>
      </c>
      <c r="J51" s="2" t="s">
        <v>50</v>
      </c>
      <c r="K51" s="2">
        <v>11.0</v>
      </c>
      <c r="L51" s="2">
        <v>150.0</v>
      </c>
      <c r="M51" s="2">
        <v>30.0</v>
      </c>
      <c r="N51" s="2">
        <v>4500.0</v>
      </c>
    </row>
    <row r="52" ht="15.75" customHeight="1">
      <c r="A52" s="2" t="s">
        <v>336</v>
      </c>
      <c r="B52" s="2" t="s">
        <v>59</v>
      </c>
      <c r="C52" s="2" t="s">
        <v>64</v>
      </c>
      <c r="D52" s="2" t="s">
        <v>66</v>
      </c>
      <c r="E52" s="2" t="s">
        <v>68</v>
      </c>
      <c r="F52" s="2" t="s">
        <v>221</v>
      </c>
      <c r="G52" s="8">
        <v>46178.0</v>
      </c>
      <c r="H52" s="8">
        <v>46208.0</v>
      </c>
      <c r="I52" s="8">
        <v>46208.0</v>
      </c>
      <c r="J52" s="2" t="s">
        <v>50</v>
      </c>
      <c r="K52" s="2">
        <v>0.0</v>
      </c>
      <c r="L52" s="2">
        <v>250.0</v>
      </c>
      <c r="M52" s="2">
        <v>46.0</v>
      </c>
      <c r="N52" s="2">
        <v>11500.0</v>
      </c>
    </row>
    <row r="53" ht="15.75" customHeight="1">
      <c r="A53" s="2" t="s">
        <v>343</v>
      </c>
      <c r="B53" s="2" t="s">
        <v>79</v>
      </c>
      <c r="C53" s="2" t="s">
        <v>81</v>
      </c>
      <c r="D53" s="2" t="s">
        <v>84</v>
      </c>
      <c r="E53" s="2" t="s">
        <v>42</v>
      </c>
      <c r="F53" s="2" t="s">
        <v>102</v>
      </c>
      <c r="G53" s="8">
        <v>46077.0</v>
      </c>
      <c r="H53" s="8">
        <v>46142.0</v>
      </c>
      <c r="I53" s="8">
        <v>46152.0</v>
      </c>
      <c r="J53" s="2" t="s">
        <v>50</v>
      </c>
      <c r="K53" s="2">
        <v>10.0</v>
      </c>
      <c r="L53" s="2">
        <v>600.0</v>
      </c>
      <c r="M53" s="2">
        <v>30.0</v>
      </c>
      <c r="N53" s="2">
        <v>18000.0</v>
      </c>
    </row>
    <row r="54" ht="15.75" customHeight="1">
      <c r="A54" s="2" t="s">
        <v>346</v>
      </c>
      <c r="B54" s="2" t="s">
        <v>35</v>
      </c>
      <c r="C54" s="2" t="s">
        <v>37</v>
      </c>
      <c r="D54" s="2" t="s">
        <v>40</v>
      </c>
      <c r="E54" s="2" t="s">
        <v>42</v>
      </c>
      <c r="F54" s="2" t="s">
        <v>102</v>
      </c>
      <c r="G54" s="8">
        <v>46020.0</v>
      </c>
      <c r="H54" s="8">
        <v>46080.0</v>
      </c>
      <c r="I54" s="8">
        <v>46084.0</v>
      </c>
      <c r="J54" s="2" t="s">
        <v>50</v>
      </c>
      <c r="K54" s="2">
        <v>4.0</v>
      </c>
      <c r="L54" s="2">
        <v>600.0</v>
      </c>
      <c r="M54" s="2">
        <v>26.0</v>
      </c>
      <c r="N54" s="2">
        <v>15600.0</v>
      </c>
    </row>
    <row r="55" ht="15.75" customHeight="1">
      <c r="A55" s="2" t="s">
        <v>347</v>
      </c>
      <c r="B55" s="2" t="s">
        <v>35</v>
      </c>
      <c r="C55" s="2" t="s">
        <v>37</v>
      </c>
      <c r="D55" s="2" t="s">
        <v>40</v>
      </c>
      <c r="E55" s="2" t="s">
        <v>42</v>
      </c>
      <c r="F55" s="2" t="s">
        <v>221</v>
      </c>
      <c r="G55" s="8">
        <v>46124.0</v>
      </c>
      <c r="H55" s="8">
        <v>46184.0</v>
      </c>
      <c r="I55" s="8">
        <v>46187.0</v>
      </c>
      <c r="J55" s="2" t="s">
        <v>50</v>
      </c>
      <c r="K55" s="2">
        <v>3.0</v>
      </c>
      <c r="L55" s="2">
        <v>500.0</v>
      </c>
      <c r="M55" s="2">
        <v>26.0</v>
      </c>
      <c r="N55" s="2">
        <v>13000.0</v>
      </c>
    </row>
    <row r="56" ht="15.75" customHeight="1">
      <c r="A56" s="2" t="s">
        <v>348</v>
      </c>
      <c r="B56" s="2" t="s">
        <v>79</v>
      </c>
      <c r="C56" s="2" t="s">
        <v>81</v>
      </c>
      <c r="D56" s="2" t="s">
        <v>84</v>
      </c>
      <c r="E56" s="2" t="s">
        <v>42</v>
      </c>
      <c r="F56" s="2" t="s">
        <v>170</v>
      </c>
      <c r="G56" s="8">
        <v>46098.0</v>
      </c>
      <c r="H56" s="8">
        <v>46163.0</v>
      </c>
      <c r="I56" s="8">
        <v>46174.0</v>
      </c>
      <c r="J56" s="2" t="s">
        <v>50</v>
      </c>
      <c r="K56" s="2">
        <v>11.0</v>
      </c>
      <c r="L56" s="2">
        <v>150.0</v>
      </c>
      <c r="M56" s="2">
        <v>30.0</v>
      </c>
      <c r="N56" s="2">
        <v>4500.0</v>
      </c>
    </row>
    <row r="57" ht="15.75" customHeight="1">
      <c r="A57" s="2" t="s">
        <v>349</v>
      </c>
      <c r="B57" s="2" t="s">
        <v>35</v>
      </c>
      <c r="C57" s="2" t="s">
        <v>37</v>
      </c>
      <c r="D57" s="2" t="s">
        <v>40</v>
      </c>
      <c r="E57" s="2" t="s">
        <v>42</v>
      </c>
      <c r="F57" s="2" t="s">
        <v>232</v>
      </c>
      <c r="G57" s="8">
        <v>46185.0</v>
      </c>
      <c r="H57" s="8">
        <v>46245.0</v>
      </c>
      <c r="I57" s="8"/>
      <c r="J57" s="2" t="s">
        <v>89</v>
      </c>
      <c r="K57" s="2"/>
      <c r="L57" s="2">
        <v>500.0</v>
      </c>
      <c r="M57" s="2">
        <v>26.0</v>
      </c>
      <c r="N57" s="2">
        <v>13000.0</v>
      </c>
    </row>
    <row r="58" ht="15.75" customHeight="1">
      <c r="A58" s="2" t="s">
        <v>350</v>
      </c>
      <c r="B58" s="2" t="s">
        <v>59</v>
      </c>
      <c r="C58" s="2" t="s">
        <v>64</v>
      </c>
      <c r="D58" s="2" t="s">
        <v>66</v>
      </c>
      <c r="E58" s="2" t="s">
        <v>68</v>
      </c>
      <c r="F58" s="2" t="s">
        <v>44</v>
      </c>
      <c r="G58" s="8">
        <v>46087.0</v>
      </c>
      <c r="H58" s="8">
        <v>46117.0</v>
      </c>
      <c r="I58" s="8">
        <v>46117.0</v>
      </c>
      <c r="J58" s="2" t="s">
        <v>50</v>
      </c>
      <c r="K58" s="2">
        <v>0.0</v>
      </c>
      <c r="L58" s="2">
        <v>600.0</v>
      </c>
      <c r="M58" s="2">
        <v>46.0</v>
      </c>
      <c r="N58" s="2">
        <v>27600.0</v>
      </c>
    </row>
    <row r="59" ht="15.75" customHeight="1">
      <c r="A59" s="2" t="s">
        <v>351</v>
      </c>
      <c r="B59" s="2" t="s">
        <v>111</v>
      </c>
      <c r="C59" s="2" t="s">
        <v>114</v>
      </c>
      <c r="D59" s="2" t="s">
        <v>117</v>
      </c>
      <c r="E59" s="2" t="s">
        <v>119</v>
      </c>
      <c r="F59" s="2" t="s">
        <v>69</v>
      </c>
      <c r="G59" s="8">
        <v>46175.0</v>
      </c>
      <c r="H59" s="8">
        <v>46220.0</v>
      </c>
      <c r="I59" s="8"/>
      <c r="J59" s="2" t="s">
        <v>89</v>
      </c>
      <c r="K59" s="2"/>
      <c r="L59" s="2">
        <v>300.0</v>
      </c>
      <c r="M59" s="2">
        <v>11.0</v>
      </c>
      <c r="N59" s="2">
        <v>3300.0</v>
      </c>
    </row>
    <row r="60" ht="15.75" customHeight="1">
      <c r="A60" s="2" t="s">
        <v>352</v>
      </c>
      <c r="B60" s="2" t="s">
        <v>236</v>
      </c>
      <c r="C60" s="2" t="s">
        <v>237</v>
      </c>
      <c r="D60" s="2" t="s">
        <v>66</v>
      </c>
      <c r="E60" s="2" t="s">
        <v>68</v>
      </c>
      <c r="F60" s="2" t="s">
        <v>180</v>
      </c>
      <c r="G60" s="8">
        <v>46186.0</v>
      </c>
      <c r="H60" s="8">
        <v>46216.0</v>
      </c>
      <c r="I60" s="8">
        <v>46217.0</v>
      </c>
      <c r="J60" s="2" t="s">
        <v>50</v>
      </c>
      <c r="K60" s="2">
        <v>1.0</v>
      </c>
      <c r="L60" s="2">
        <v>150.0</v>
      </c>
      <c r="M60" s="2">
        <v>38.0</v>
      </c>
      <c r="N60" s="2">
        <v>5700.0</v>
      </c>
    </row>
    <row r="61" ht="15.75" customHeight="1">
      <c r="A61" s="2" t="s">
        <v>353</v>
      </c>
      <c r="B61" s="2" t="s">
        <v>59</v>
      </c>
      <c r="C61" s="2" t="s">
        <v>64</v>
      </c>
      <c r="D61" s="2" t="s">
        <v>66</v>
      </c>
      <c r="E61" s="2" t="s">
        <v>68</v>
      </c>
      <c r="F61" s="2" t="s">
        <v>180</v>
      </c>
      <c r="G61" s="8">
        <v>46011.0</v>
      </c>
      <c r="H61" s="8">
        <v>46041.0</v>
      </c>
      <c r="I61" s="8">
        <v>46042.0</v>
      </c>
      <c r="J61" s="2" t="s">
        <v>50</v>
      </c>
      <c r="K61" s="2">
        <v>1.0</v>
      </c>
      <c r="L61" s="2">
        <v>300.0</v>
      </c>
      <c r="M61" s="2">
        <v>46.0</v>
      </c>
      <c r="N61" s="2">
        <v>13800.0</v>
      </c>
    </row>
    <row r="62" ht="15.75" customHeight="1">
      <c r="A62" s="2" t="s">
        <v>354</v>
      </c>
      <c r="B62" s="2" t="s">
        <v>131</v>
      </c>
      <c r="C62" s="2" t="s">
        <v>133</v>
      </c>
      <c r="D62" s="2" t="s">
        <v>117</v>
      </c>
      <c r="E62" s="2" t="s">
        <v>119</v>
      </c>
      <c r="F62" s="2" t="s">
        <v>86</v>
      </c>
      <c r="G62" s="8">
        <v>46103.0</v>
      </c>
      <c r="H62" s="8">
        <v>46148.0</v>
      </c>
      <c r="I62" s="8">
        <v>46149.0</v>
      </c>
      <c r="J62" s="2" t="s">
        <v>50</v>
      </c>
      <c r="K62" s="2">
        <v>1.0</v>
      </c>
      <c r="L62" s="2">
        <v>250.0</v>
      </c>
      <c r="M62" s="2">
        <v>19.5</v>
      </c>
      <c r="N62" s="2">
        <v>4875.0</v>
      </c>
    </row>
    <row r="63" ht="15.75" customHeight="1">
      <c r="A63" s="2" t="s">
        <v>355</v>
      </c>
      <c r="B63" s="2" t="s">
        <v>131</v>
      </c>
      <c r="C63" s="2" t="s">
        <v>133</v>
      </c>
      <c r="D63" s="2" t="s">
        <v>117</v>
      </c>
      <c r="E63" s="2" t="s">
        <v>119</v>
      </c>
      <c r="F63" s="2" t="s">
        <v>180</v>
      </c>
      <c r="G63" s="8">
        <v>46170.0</v>
      </c>
      <c r="H63" s="8">
        <v>46215.0</v>
      </c>
      <c r="I63" s="8">
        <v>46215.0</v>
      </c>
      <c r="J63" s="2" t="s">
        <v>50</v>
      </c>
      <c r="K63" s="2">
        <v>0.0</v>
      </c>
      <c r="L63" s="2">
        <v>400.0</v>
      </c>
      <c r="M63" s="2">
        <v>19.5</v>
      </c>
      <c r="N63" s="2">
        <v>7800.0</v>
      </c>
    </row>
    <row r="64" ht="15.75" customHeight="1">
      <c r="A64" s="2" t="s">
        <v>356</v>
      </c>
      <c r="B64" s="2" t="s">
        <v>35</v>
      </c>
      <c r="C64" s="2" t="s">
        <v>37</v>
      </c>
      <c r="D64" s="2" t="s">
        <v>40</v>
      </c>
      <c r="E64" s="2" t="s">
        <v>42</v>
      </c>
      <c r="F64" s="2" t="s">
        <v>227</v>
      </c>
      <c r="G64" s="8">
        <v>46175.0</v>
      </c>
      <c r="H64" s="8">
        <v>46235.0</v>
      </c>
      <c r="I64" s="8"/>
      <c r="J64" s="2" t="s">
        <v>89</v>
      </c>
      <c r="K64" s="2"/>
      <c r="L64" s="2">
        <v>400.0</v>
      </c>
      <c r="M64" s="2">
        <v>26.0</v>
      </c>
      <c r="N64" s="2">
        <v>10400.0</v>
      </c>
    </row>
    <row r="65" ht="15.75" customHeight="1">
      <c r="A65" s="2" t="s">
        <v>357</v>
      </c>
      <c r="B65" s="2" t="s">
        <v>188</v>
      </c>
      <c r="C65" s="2" t="s">
        <v>190</v>
      </c>
      <c r="D65" s="2" t="s">
        <v>40</v>
      </c>
      <c r="E65" s="2" t="s">
        <v>42</v>
      </c>
      <c r="F65" s="2" t="s">
        <v>170</v>
      </c>
      <c r="G65" s="8">
        <v>46129.0</v>
      </c>
      <c r="H65" s="8">
        <v>46189.0</v>
      </c>
      <c r="I65" s="8">
        <v>46198.0</v>
      </c>
      <c r="J65" s="2" t="s">
        <v>50</v>
      </c>
      <c r="K65" s="2">
        <v>9.0</v>
      </c>
      <c r="L65" s="2">
        <v>150.0</v>
      </c>
      <c r="M65" s="2">
        <v>22.0</v>
      </c>
      <c r="N65" s="2">
        <v>3300.0</v>
      </c>
    </row>
    <row r="66" ht="15.75" customHeight="1">
      <c r="A66" s="2" t="s">
        <v>358</v>
      </c>
      <c r="B66" s="2" t="s">
        <v>131</v>
      </c>
      <c r="C66" s="2" t="s">
        <v>133</v>
      </c>
      <c r="D66" s="2" t="s">
        <v>117</v>
      </c>
      <c r="E66" s="2" t="s">
        <v>119</v>
      </c>
      <c r="F66" s="2" t="s">
        <v>102</v>
      </c>
      <c r="G66" s="8">
        <v>46131.0</v>
      </c>
      <c r="H66" s="8">
        <v>46176.0</v>
      </c>
      <c r="I66" s="8">
        <v>46176.0</v>
      </c>
      <c r="J66" s="2" t="s">
        <v>50</v>
      </c>
      <c r="K66" s="2">
        <v>0.0</v>
      </c>
      <c r="L66" s="2">
        <v>400.0</v>
      </c>
      <c r="M66" s="2">
        <v>19.5</v>
      </c>
      <c r="N66" s="2">
        <v>7800.0</v>
      </c>
    </row>
    <row r="67" ht="15.75" customHeight="1">
      <c r="A67" s="2" t="s">
        <v>359</v>
      </c>
      <c r="B67" s="2" t="s">
        <v>111</v>
      </c>
      <c r="C67" s="2" t="s">
        <v>114</v>
      </c>
      <c r="D67" s="2" t="s">
        <v>117</v>
      </c>
      <c r="E67" s="2" t="s">
        <v>119</v>
      </c>
      <c r="F67" s="2" t="s">
        <v>294</v>
      </c>
      <c r="G67" s="8">
        <v>46099.0</v>
      </c>
      <c r="H67" s="8">
        <v>46144.0</v>
      </c>
      <c r="I67" s="8">
        <v>46145.0</v>
      </c>
      <c r="J67" s="2" t="s">
        <v>50</v>
      </c>
      <c r="K67" s="2">
        <v>1.0</v>
      </c>
      <c r="L67" s="2">
        <v>150.0</v>
      </c>
      <c r="M67" s="2">
        <v>11.0</v>
      </c>
      <c r="N67" s="2">
        <v>1650.0</v>
      </c>
    </row>
    <row r="68" ht="15.75" customHeight="1">
      <c r="A68" s="2" t="s">
        <v>360</v>
      </c>
      <c r="B68" s="2" t="s">
        <v>188</v>
      </c>
      <c r="C68" s="2" t="s">
        <v>190</v>
      </c>
      <c r="D68" s="2" t="s">
        <v>40</v>
      </c>
      <c r="E68" s="2" t="s">
        <v>42</v>
      </c>
      <c r="F68" s="2" t="s">
        <v>170</v>
      </c>
      <c r="G68" s="8">
        <v>46110.0</v>
      </c>
      <c r="H68" s="8">
        <v>46170.0</v>
      </c>
      <c r="I68" s="8">
        <v>46175.0</v>
      </c>
      <c r="J68" s="2" t="s">
        <v>50</v>
      </c>
      <c r="K68" s="2">
        <v>5.0</v>
      </c>
      <c r="L68" s="2">
        <v>200.0</v>
      </c>
      <c r="M68" s="2">
        <v>22.0</v>
      </c>
      <c r="N68" s="2">
        <v>4400.0</v>
      </c>
    </row>
    <row r="69" ht="15.75" customHeight="1">
      <c r="A69" s="2" t="s">
        <v>361</v>
      </c>
      <c r="B69" s="2" t="s">
        <v>303</v>
      </c>
      <c r="C69" s="2" t="s">
        <v>304</v>
      </c>
      <c r="D69" s="2" t="s">
        <v>117</v>
      </c>
      <c r="E69" s="2" t="s">
        <v>119</v>
      </c>
      <c r="F69" s="2" t="s">
        <v>232</v>
      </c>
      <c r="G69" s="8">
        <v>46163.0</v>
      </c>
      <c r="H69" s="8">
        <v>46208.0</v>
      </c>
      <c r="I69" s="8">
        <v>46208.0</v>
      </c>
      <c r="J69" s="2" t="s">
        <v>50</v>
      </c>
      <c r="K69" s="2">
        <v>0.0</v>
      </c>
      <c r="L69" s="2">
        <v>200.0</v>
      </c>
      <c r="M69" s="2">
        <v>14.25</v>
      </c>
      <c r="N69" s="2">
        <v>2850.0</v>
      </c>
    </row>
    <row r="70" ht="15.75" customHeight="1">
      <c r="A70" s="2" t="s">
        <v>362</v>
      </c>
      <c r="B70" s="2" t="s">
        <v>35</v>
      </c>
      <c r="C70" s="2" t="s">
        <v>37</v>
      </c>
      <c r="D70" s="2" t="s">
        <v>40</v>
      </c>
      <c r="E70" s="2" t="s">
        <v>42</v>
      </c>
      <c r="F70" s="2" t="s">
        <v>121</v>
      </c>
      <c r="G70" s="8">
        <v>46131.0</v>
      </c>
      <c r="H70" s="8">
        <v>46191.0</v>
      </c>
      <c r="I70" s="8">
        <v>46197.0</v>
      </c>
      <c r="J70" s="2" t="s">
        <v>50</v>
      </c>
      <c r="K70" s="2">
        <v>6.0</v>
      </c>
      <c r="L70" s="2">
        <v>150.0</v>
      </c>
      <c r="M70" s="2">
        <v>26.0</v>
      </c>
      <c r="N70" s="2">
        <v>3900.0</v>
      </c>
    </row>
    <row r="71" ht="15.75" customHeight="1">
      <c r="A71" s="2" t="s">
        <v>363</v>
      </c>
      <c r="B71" s="2" t="s">
        <v>111</v>
      </c>
      <c r="C71" s="2" t="s">
        <v>114</v>
      </c>
      <c r="D71" s="2" t="s">
        <v>117</v>
      </c>
      <c r="E71" s="2" t="s">
        <v>119</v>
      </c>
      <c r="F71" s="2" t="s">
        <v>227</v>
      </c>
      <c r="G71" s="8">
        <v>46097.0</v>
      </c>
      <c r="H71" s="8">
        <v>46142.0</v>
      </c>
      <c r="I71" s="8">
        <v>46144.0</v>
      </c>
      <c r="J71" s="2" t="s">
        <v>50</v>
      </c>
      <c r="K71" s="2">
        <v>2.0</v>
      </c>
      <c r="L71" s="2">
        <v>300.0</v>
      </c>
      <c r="M71" s="2">
        <v>11.0</v>
      </c>
      <c r="N71" s="2">
        <v>3300.0</v>
      </c>
    </row>
    <row r="72" ht="15.75" customHeight="1">
      <c r="A72" s="2" t="s">
        <v>364</v>
      </c>
      <c r="B72" s="2" t="s">
        <v>131</v>
      </c>
      <c r="C72" s="2" t="s">
        <v>133</v>
      </c>
      <c r="D72" s="2" t="s">
        <v>117</v>
      </c>
      <c r="E72" s="2" t="s">
        <v>119</v>
      </c>
      <c r="F72" s="2" t="s">
        <v>102</v>
      </c>
      <c r="G72" s="8">
        <v>46173.0</v>
      </c>
      <c r="H72" s="8">
        <v>46218.0</v>
      </c>
      <c r="I72" s="8"/>
      <c r="J72" s="2" t="s">
        <v>89</v>
      </c>
      <c r="K72" s="2"/>
      <c r="L72" s="2">
        <v>500.0</v>
      </c>
      <c r="M72" s="2">
        <v>19.5</v>
      </c>
      <c r="N72" s="2">
        <v>9750.0</v>
      </c>
    </row>
    <row r="73" ht="15.75" customHeight="1">
      <c r="A73" s="2" t="s">
        <v>365</v>
      </c>
      <c r="B73" s="2" t="s">
        <v>35</v>
      </c>
      <c r="C73" s="2" t="s">
        <v>37</v>
      </c>
      <c r="D73" s="2" t="s">
        <v>40</v>
      </c>
      <c r="E73" s="2" t="s">
        <v>42</v>
      </c>
      <c r="F73" s="2" t="s">
        <v>44</v>
      </c>
      <c r="G73" s="8">
        <v>46155.0</v>
      </c>
      <c r="H73" s="8">
        <v>46215.0</v>
      </c>
      <c r="I73" s="8"/>
      <c r="J73" s="2" t="s">
        <v>89</v>
      </c>
      <c r="K73" s="2"/>
      <c r="L73" s="2">
        <v>500.0</v>
      </c>
      <c r="M73" s="2">
        <v>26.0</v>
      </c>
      <c r="N73" s="2">
        <v>13000.0</v>
      </c>
    </row>
    <row r="74" ht="15.75" customHeight="1">
      <c r="A74" s="2" t="s">
        <v>366</v>
      </c>
      <c r="B74" s="2" t="s">
        <v>111</v>
      </c>
      <c r="C74" s="2" t="s">
        <v>114</v>
      </c>
      <c r="D74" s="2" t="s">
        <v>117</v>
      </c>
      <c r="E74" s="2" t="s">
        <v>119</v>
      </c>
      <c r="F74" s="2" t="s">
        <v>202</v>
      </c>
      <c r="G74" s="8">
        <v>46035.0</v>
      </c>
      <c r="H74" s="8">
        <v>46080.0</v>
      </c>
      <c r="I74" s="8">
        <v>46081.0</v>
      </c>
      <c r="J74" s="2" t="s">
        <v>50</v>
      </c>
      <c r="K74" s="2">
        <v>1.0</v>
      </c>
      <c r="L74" s="2">
        <v>600.0</v>
      </c>
      <c r="M74" s="2">
        <v>11.0</v>
      </c>
      <c r="N74" s="2">
        <v>6600.0</v>
      </c>
    </row>
    <row r="75" ht="15.75" customHeight="1">
      <c r="A75" s="2" t="s">
        <v>367</v>
      </c>
      <c r="B75" s="2" t="s">
        <v>236</v>
      </c>
      <c r="C75" s="2" t="s">
        <v>237</v>
      </c>
      <c r="D75" s="2" t="s">
        <v>66</v>
      </c>
      <c r="E75" s="2" t="s">
        <v>68</v>
      </c>
      <c r="F75" s="2" t="s">
        <v>180</v>
      </c>
      <c r="G75" s="8">
        <v>46079.0</v>
      </c>
      <c r="H75" s="8">
        <v>46109.0</v>
      </c>
      <c r="I75" s="8">
        <v>46110.0</v>
      </c>
      <c r="J75" s="2" t="s">
        <v>50</v>
      </c>
      <c r="K75" s="2">
        <v>1.0</v>
      </c>
      <c r="L75" s="2">
        <v>500.0</v>
      </c>
      <c r="M75" s="2">
        <v>38.0</v>
      </c>
      <c r="N75" s="2">
        <v>19000.0</v>
      </c>
    </row>
    <row r="76" ht="15.75" customHeight="1">
      <c r="A76" s="2" t="s">
        <v>368</v>
      </c>
      <c r="B76" s="2" t="s">
        <v>35</v>
      </c>
      <c r="C76" s="2" t="s">
        <v>37</v>
      </c>
      <c r="D76" s="2" t="s">
        <v>40</v>
      </c>
      <c r="E76" s="2" t="s">
        <v>42</v>
      </c>
      <c r="F76" s="2" t="s">
        <v>221</v>
      </c>
      <c r="G76" s="8">
        <v>46113.0</v>
      </c>
      <c r="H76" s="8">
        <v>46173.0</v>
      </c>
      <c r="I76" s="8">
        <v>46184.0</v>
      </c>
      <c r="J76" s="2" t="s">
        <v>50</v>
      </c>
      <c r="K76" s="2">
        <v>11.0</v>
      </c>
      <c r="L76" s="2">
        <v>150.0</v>
      </c>
      <c r="M76" s="2">
        <v>26.0</v>
      </c>
      <c r="N76" s="2">
        <v>3900.0</v>
      </c>
    </row>
    <row r="77" ht="15.75" customHeight="1">
      <c r="A77" s="2" t="s">
        <v>369</v>
      </c>
      <c r="B77" s="2" t="s">
        <v>303</v>
      </c>
      <c r="C77" s="2" t="s">
        <v>304</v>
      </c>
      <c r="D77" s="2" t="s">
        <v>117</v>
      </c>
      <c r="E77" s="2" t="s">
        <v>119</v>
      </c>
      <c r="F77" s="2" t="s">
        <v>69</v>
      </c>
      <c r="G77" s="8">
        <v>46166.0</v>
      </c>
      <c r="H77" s="8">
        <v>46211.0</v>
      </c>
      <c r="I77" s="8">
        <v>46212.0</v>
      </c>
      <c r="J77" s="2" t="s">
        <v>50</v>
      </c>
      <c r="K77" s="2">
        <v>1.0</v>
      </c>
      <c r="L77" s="2">
        <v>200.0</v>
      </c>
      <c r="M77" s="2">
        <v>14.25</v>
      </c>
      <c r="N77" s="2">
        <v>2850.0</v>
      </c>
    </row>
    <row r="78" ht="15.75" customHeight="1">
      <c r="A78" s="2" t="s">
        <v>370</v>
      </c>
      <c r="B78" s="2" t="s">
        <v>111</v>
      </c>
      <c r="C78" s="2" t="s">
        <v>114</v>
      </c>
      <c r="D78" s="2" t="s">
        <v>117</v>
      </c>
      <c r="E78" s="2" t="s">
        <v>119</v>
      </c>
      <c r="F78" s="2" t="s">
        <v>232</v>
      </c>
      <c r="G78" s="8">
        <v>46007.0</v>
      </c>
      <c r="H78" s="8">
        <v>46052.0</v>
      </c>
      <c r="I78" s="8">
        <v>46052.0</v>
      </c>
      <c r="J78" s="2" t="s">
        <v>50</v>
      </c>
      <c r="K78" s="2">
        <v>0.0</v>
      </c>
      <c r="L78" s="2">
        <v>150.0</v>
      </c>
      <c r="M78" s="2">
        <v>11.0</v>
      </c>
      <c r="N78" s="2">
        <v>1650.0</v>
      </c>
    </row>
    <row r="79" ht="15.75" customHeight="1">
      <c r="A79" s="2" t="s">
        <v>371</v>
      </c>
      <c r="B79" s="2" t="s">
        <v>79</v>
      </c>
      <c r="C79" s="2" t="s">
        <v>81</v>
      </c>
      <c r="D79" s="2" t="s">
        <v>84</v>
      </c>
      <c r="E79" s="2" t="s">
        <v>42</v>
      </c>
      <c r="F79" s="2" t="s">
        <v>102</v>
      </c>
      <c r="G79" s="8">
        <v>46013.0</v>
      </c>
      <c r="H79" s="8">
        <v>46078.0</v>
      </c>
      <c r="I79" s="8">
        <v>46089.0</v>
      </c>
      <c r="J79" s="2" t="s">
        <v>50</v>
      </c>
      <c r="K79" s="2">
        <v>11.0</v>
      </c>
      <c r="L79" s="2">
        <v>250.0</v>
      </c>
      <c r="M79" s="2">
        <v>30.0</v>
      </c>
      <c r="N79" s="2">
        <v>7500.0</v>
      </c>
    </row>
    <row r="80" ht="15.75" customHeight="1">
      <c r="A80" s="2" t="s">
        <v>372</v>
      </c>
      <c r="B80" s="2" t="s">
        <v>236</v>
      </c>
      <c r="C80" s="2" t="s">
        <v>237</v>
      </c>
      <c r="D80" s="2" t="s">
        <v>66</v>
      </c>
      <c r="E80" s="2" t="s">
        <v>68</v>
      </c>
      <c r="F80" s="2" t="s">
        <v>86</v>
      </c>
      <c r="G80" s="8">
        <v>46069.0</v>
      </c>
      <c r="H80" s="8">
        <v>46099.0</v>
      </c>
      <c r="I80" s="8">
        <v>46099.0</v>
      </c>
      <c r="J80" s="2" t="s">
        <v>50</v>
      </c>
      <c r="K80" s="2">
        <v>0.0</v>
      </c>
      <c r="L80" s="2">
        <v>600.0</v>
      </c>
      <c r="M80" s="2">
        <v>38.0</v>
      </c>
      <c r="N80" s="2">
        <v>22800.0</v>
      </c>
    </row>
    <row r="81" ht="15.75" customHeight="1">
      <c r="A81" s="2" t="s">
        <v>373</v>
      </c>
      <c r="B81" s="2" t="s">
        <v>188</v>
      </c>
      <c r="C81" s="2" t="s">
        <v>190</v>
      </c>
      <c r="D81" s="2" t="s">
        <v>40</v>
      </c>
      <c r="E81" s="2" t="s">
        <v>42</v>
      </c>
      <c r="F81" s="2" t="s">
        <v>221</v>
      </c>
      <c r="G81" s="8">
        <v>46132.0</v>
      </c>
      <c r="H81" s="8">
        <v>46192.0</v>
      </c>
      <c r="I81" s="8">
        <v>46197.0</v>
      </c>
      <c r="J81" s="2" t="s">
        <v>50</v>
      </c>
      <c r="K81" s="2">
        <v>5.0</v>
      </c>
      <c r="L81" s="2">
        <v>600.0</v>
      </c>
      <c r="M81" s="2">
        <v>22.0</v>
      </c>
      <c r="N81" s="2">
        <v>13200.0</v>
      </c>
    </row>
    <row r="82" ht="15.75" customHeight="1">
      <c r="A82" s="2" t="s">
        <v>374</v>
      </c>
      <c r="B82" s="2" t="s">
        <v>131</v>
      </c>
      <c r="C82" s="2" t="s">
        <v>133</v>
      </c>
      <c r="D82" s="2" t="s">
        <v>117</v>
      </c>
      <c r="E82" s="2" t="s">
        <v>119</v>
      </c>
      <c r="F82" s="2" t="s">
        <v>170</v>
      </c>
      <c r="G82" s="8">
        <v>46133.0</v>
      </c>
      <c r="H82" s="8">
        <v>46178.0</v>
      </c>
      <c r="I82" s="8">
        <v>46180.0</v>
      </c>
      <c r="J82" s="2" t="s">
        <v>50</v>
      </c>
      <c r="K82" s="2">
        <v>2.0</v>
      </c>
      <c r="L82" s="2">
        <v>200.0</v>
      </c>
      <c r="M82" s="2">
        <v>19.5</v>
      </c>
      <c r="N82" s="2">
        <v>3900.0</v>
      </c>
    </row>
    <row r="83" ht="15.75" customHeight="1">
      <c r="A83" s="2" t="s">
        <v>375</v>
      </c>
      <c r="B83" s="2" t="s">
        <v>188</v>
      </c>
      <c r="C83" s="2" t="s">
        <v>190</v>
      </c>
      <c r="D83" s="2" t="s">
        <v>40</v>
      </c>
      <c r="E83" s="2" t="s">
        <v>42</v>
      </c>
      <c r="F83" s="2" t="s">
        <v>221</v>
      </c>
      <c r="G83" s="8">
        <v>46089.0</v>
      </c>
      <c r="H83" s="8">
        <v>46149.0</v>
      </c>
      <c r="I83" s="8">
        <v>46156.0</v>
      </c>
      <c r="J83" s="2" t="s">
        <v>50</v>
      </c>
      <c r="K83" s="2">
        <v>7.0</v>
      </c>
      <c r="L83" s="2">
        <v>400.0</v>
      </c>
      <c r="M83" s="2">
        <v>22.0</v>
      </c>
      <c r="N83" s="2">
        <v>8800.0</v>
      </c>
    </row>
    <row r="84" ht="15.75" customHeight="1">
      <c r="A84" s="2" t="s">
        <v>376</v>
      </c>
      <c r="B84" s="2" t="s">
        <v>131</v>
      </c>
      <c r="C84" s="2" t="s">
        <v>133</v>
      </c>
      <c r="D84" s="2" t="s">
        <v>117</v>
      </c>
      <c r="E84" s="2" t="s">
        <v>119</v>
      </c>
      <c r="F84" s="2" t="s">
        <v>121</v>
      </c>
      <c r="G84" s="8">
        <v>46164.0</v>
      </c>
      <c r="H84" s="8">
        <v>46209.0</v>
      </c>
      <c r="I84" s="8">
        <v>46210.0</v>
      </c>
      <c r="J84" s="2" t="s">
        <v>50</v>
      </c>
      <c r="K84" s="2">
        <v>1.0</v>
      </c>
      <c r="L84" s="2">
        <v>250.0</v>
      </c>
      <c r="M84" s="2">
        <v>19.5</v>
      </c>
      <c r="N84" s="2">
        <v>4875.0</v>
      </c>
    </row>
    <row r="85" ht="15.75" customHeight="1">
      <c r="A85" s="2" t="s">
        <v>377</v>
      </c>
      <c r="B85" s="2" t="s">
        <v>303</v>
      </c>
      <c r="C85" s="2" t="s">
        <v>304</v>
      </c>
      <c r="D85" s="2" t="s">
        <v>117</v>
      </c>
      <c r="E85" s="2" t="s">
        <v>119</v>
      </c>
      <c r="F85" s="2" t="s">
        <v>202</v>
      </c>
      <c r="G85" s="8">
        <v>46174.0</v>
      </c>
      <c r="H85" s="8">
        <v>46219.0</v>
      </c>
      <c r="I85" s="8"/>
      <c r="J85" s="2" t="s">
        <v>89</v>
      </c>
      <c r="K85" s="2"/>
      <c r="L85" s="2">
        <v>150.0</v>
      </c>
      <c r="M85" s="2">
        <v>14.25</v>
      </c>
      <c r="N85" s="2">
        <v>2137.5</v>
      </c>
    </row>
    <row r="86" ht="15.75" customHeight="1">
      <c r="A86" s="2" t="s">
        <v>378</v>
      </c>
      <c r="B86" s="2" t="s">
        <v>35</v>
      </c>
      <c r="C86" s="2" t="s">
        <v>37</v>
      </c>
      <c r="D86" s="2" t="s">
        <v>40</v>
      </c>
      <c r="E86" s="2" t="s">
        <v>42</v>
      </c>
      <c r="F86" s="2" t="s">
        <v>221</v>
      </c>
      <c r="G86" s="8">
        <v>46009.0</v>
      </c>
      <c r="H86" s="8">
        <v>46069.0</v>
      </c>
      <c r="I86" s="8">
        <v>46079.0</v>
      </c>
      <c r="J86" s="2" t="s">
        <v>50</v>
      </c>
      <c r="K86" s="2">
        <v>10.0</v>
      </c>
      <c r="L86" s="2">
        <v>600.0</v>
      </c>
      <c r="M86" s="2">
        <v>26.0</v>
      </c>
      <c r="N86" s="2">
        <v>15600.0</v>
      </c>
    </row>
    <row r="87" ht="15.75" customHeight="1">
      <c r="A87" s="2" t="s">
        <v>379</v>
      </c>
      <c r="B87" s="2" t="s">
        <v>111</v>
      </c>
      <c r="C87" s="2" t="s">
        <v>114</v>
      </c>
      <c r="D87" s="2" t="s">
        <v>117</v>
      </c>
      <c r="E87" s="2" t="s">
        <v>119</v>
      </c>
      <c r="F87" s="2" t="s">
        <v>180</v>
      </c>
      <c r="G87" s="8">
        <v>46072.0</v>
      </c>
      <c r="H87" s="8">
        <v>46117.0</v>
      </c>
      <c r="I87" s="8">
        <v>46119.0</v>
      </c>
      <c r="J87" s="2" t="s">
        <v>50</v>
      </c>
      <c r="K87" s="2">
        <v>2.0</v>
      </c>
      <c r="L87" s="2">
        <v>250.0</v>
      </c>
      <c r="M87" s="2">
        <v>11.0</v>
      </c>
      <c r="N87" s="2">
        <v>2750.0</v>
      </c>
    </row>
    <row r="88" ht="15.75" customHeight="1">
      <c r="A88" s="2" t="s">
        <v>380</v>
      </c>
      <c r="B88" s="2" t="s">
        <v>35</v>
      </c>
      <c r="C88" s="2" t="s">
        <v>37</v>
      </c>
      <c r="D88" s="2" t="s">
        <v>40</v>
      </c>
      <c r="E88" s="2" t="s">
        <v>42</v>
      </c>
      <c r="F88" s="2" t="s">
        <v>221</v>
      </c>
      <c r="G88" s="8">
        <v>46184.0</v>
      </c>
      <c r="H88" s="8">
        <v>46244.0</v>
      </c>
      <c r="I88" s="8"/>
      <c r="J88" s="2" t="s">
        <v>89</v>
      </c>
      <c r="K88" s="2"/>
      <c r="L88" s="2">
        <v>150.0</v>
      </c>
      <c r="M88" s="2">
        <v>26.0</v>
      </c>
      <c r="N88" s="2">
        <v>3900.0</v>
      </c>
    </row>
    <row r="89" ht="15.75" customHeight="1">
      <c r="A89" s="2" t="s">
        <v>382</v>
      </c>
      <c r="B89" s="2" t="s">
        <v>131</v>
      </c>
      <c r="C89" s="2" t="s">
        <v>133</v>
      </c>
      <c r="D89" s="2" t="s">
        <v>117</v>
      </c>
      <c r="E89" s="2" t="s">
        <v>119</v>
      </c>
      <c r="F89" s="2" t="s">
        <v>180</v>
      </c>
      <c r="G89" s="8">
        <v>46016.0</v>
      </c>
      <c r="H89" s="8">
        <v>46061.0</v>
      </c>
      <c r="I89" s="8">
        <v>46062.0</v>
      </c>
      <c r="J89" s="2" t="s">
        <v>50</v>
      </c>
      <c r="K89" s="2">
        <v>1.0</v>
      </c>
      <c r="L89" s="2">
        <v>600.0</v>
      </c>
      <c r="M89" s="2">
        <v>19.5</v>
      </c>
      <c r="N89" s="2">
        <v>11700.0</v>
      </c>
    </row>
    <row r="90" ht="15.75" customHeight="1">
      <c r="A90" s="2" t="s">
        <v>384</v>
      </c>
      <c r="B90" s="2" t="s">
        <v>59</v>
      </c>
      <c r="C90" s="2" t="s">
        <v>64</v>
      </c>
      <c r="D90" s="2" t="s">
        <v>66</v>
      </c>
      <c r="E90" s="2" t="s">
        <v>68</v>
      </c>
      <c r="F90" s="2" t="s">
        <v>102</v>
      </c>
      <c r="G90" s="8">
        <v>46014.0</v>
      </c>
      <c r="H90" s="8">
        <v>46044.0</v>
      </c>
      <c r="I90" s="8">
        <v>46044.0</v>
      </c>
      <c r="J90" s="2" t="s">
        <v>50</v>
      </c>
      <c r="K90" s="2">
        <v>0.0</v>
      </c>
      <c r="L90" s="2">
        <v>150.0</v>
      </c>
      <c r="M90" s="2">
        <v>46.0</v>
      </c>
      <c r="N90" s="2">
        <v>6900.0</v>
      </c>
    </row>
    <row r="91" ht="15.75" customHeight="1">
      <c r="A91" s="2" t="s">
        <v>387</v>
      </c>
      <c r="B91" s="2" t="s">
        <v>303</v>
      </c>
      <c r="C91" s="2" t="s">
        <v>304</v>
      </c>
      <c r="D91" s="2" t="s">
        <v>117</v>
      </c>
      <c r="E91" s="2" t="s">
        <v>119</v>
      </c>
      <c r="F91" s="2" t="s">
        <v>102</v>
      </c>
      <c r="G91" s="8">
        <v>46020.0</v>
      </c>
      <c r="H91" s="8">
        <v>46065.0</v>
      </c>
      <c r="I91" s="8">
        <v>46067.0</v>
      </c>
      <c r="J91" s="2" t="s">
        <v>50</v>
      </c>
      <c r="K91" s="2">
        <v>2.0</v>
      </c>
      <c r="L91" s="2">
        <v>300.0</v>
      </c>
      <c r="M91" s="2">
        <v>14.25</v>
      </c>
      <c r="N91" s="2">
        <v>4275.0</v>
      </c>
    </row>
    <row r="92" ht="15.75" customHeight="1">
      <c r="A92" s="2" t="s">
        <v>393</v>
      </c>
      <c r="B92" s="2" t="s">
        <v>111</v>
      </c>
      <c r="C92" s="2" t="s">
        <v>114</v>
      </c>
      <c r="D92" s="2" t="s">
        <v>117</v>
      </c>
      <c r="E92" s="2" t="s">
        <v>119</v>
      </c>
      <c r="F92" s="2" t="s">
        <v>180</v>
      </c>
      <c r="G92" s="8">
        <v>46118.0</v>
      </c>
      <c r="H92" s="8">
        <v>46163.0</v>
      </c>
      <c r="I92" s="8">
        <v>46163.0</v>
      </c>
      <c r="J92" s="2" t="s">
        <v>50</v>
      </c>
      <c r="K92" s="2">
        <v>0.0</v>
      </c>
      <c r="L92" s="2">
        <v>300.0</v>
      </c>
      <c r="M92" s="2">
        <v>11.0</v>
      </c>
      <c r="N92" s="2">
        <v>3300.0</v>
      </c>
    </row>
    <row r="93" ht="15.75" customHeight="1">
      <c r="A93" s="2" t="s">
        <v>394</v>
      </c>
      <c r="B93" s="2" t="s">
        <v>79</v>
      </c>
      <c r="C93" s="2" t="s">
        <v>81</v>
      </c>
      <c r="D93" s="2" t="s">
        <v>84</v>
      </c>
      <c r="E93" s="2" t="s">
        <v>42</v>
      </c>
      <c r="F93" s="2" t="s">
        <v>180</v>
      </c>
      <c r="G93" s="8">
        <v>46150.0</v>
      </c>
      <c r="H93" s="8">
        <v>46215.0</v>
      </c>
      <c r="I93" s="8"/>
      <c r="J93" s="2" t="s">
        <v>89</v>
      </c>
      <c r="K93" s="2"/>
      <c r="L93" s="2">
        <v>500.0</v>
      </c>
      <c r="M93" s="2">
        <v>30.0</v>
      </c>
      <c r="N93" s="2">
        <v>15000.0</v>
      </c>
    </row>
    <row r="94" ht="15.75" customHeight="1">
      <c r="A94" s="2" t="s">
        <v>395</v>
      </c>
      <c r="B94" s="2" t="s">
        <v>59</v>
      </c>
      <c r="C94" s="2" t="s">
        <v>64</v>
      </c>
      <c r="D94" s="2" t="s">
        <v>66</v>
      </c>
      <c r="E94" s="2" t="s">
        <v>68</v>
      </c>
      <c r="F94" s="2" t="s">
        <v>86</v>
      </c>
      <c r="G94" s="8">
        <v>46021.0</v>
      </c>
      <c r="H94" s="8">
        <v>46051.0</v>
      </c>
      <c r="I94" s="8">
        <v>46052.0</v>
      </c>
      <c r="J94" s="2" t="s">
        <v>50</v>
      </c>
      <c r="K94" s="2">
        <v>1.0</v>
      </c>
      <c r="L94" s="2">
        <v>600.0</v>
      </c>
      <c r="M94" s="2">
        <v>46.0</v>
      </c>
      <c r="N94" s="2">
        <v>27600.0</v>
      </c>
    </row>
    <row r="95" ht="15.75" customHeight="1">
      <c r="A95" s="2" t="s">
        <v>396</v>
      </c>
      <c r="B95" s="2" t="s">
        <v>303</v>
      </c>
      <c r="C95" s="2" t="s">
        <v>304</v>
      </c>
      <c r="D95" s="2" t="s">
        <v>117</v>
      </c>
      <c r="E95" s="2" t="s">
        <v>119</v>
      </c>
      <c r="F95" s="2" t="s">
        <v>86</v>
      </c>
      <c r="G95" s="8">
        <v>46028.0</v>
      </c>
      <c r="H95" s="8">
        <v>46073.0</v>
      </c>
      <c r="I95" s="8">
        <v>46074.0</v>
      </c>
      <c r="J95" s="2" t="s">
        <v>50</v>
      </c>
      <c r="K95" s="2">
        <v>1.0</v>
      </c>
      <c r="L95" s="2">
        <v>200.0</v>
      </c>
      <c r="M95" s="2">
        <v>14.25</v>
      </c>
      <c r="N95" s="2">
        <v>2850.0</v>
      </c>
    </row>
    <row r="96" ht="15.75" customHeight="1">
      <c r="A96" s="2" t="s">
        <v>397</v>
      </c>
      <c r="B96" s="2" t="s">
        <v>59</v>
      </c>
      <c r="C96" s="2" t="s">
        <v>64</v>
      </c>
      <c r="D96" s="2" t="s">
        <v>66</v>
      </c>
      <c r="E96" s="2" t="s">
        <v>68</v>
      </c>
      <c r="F96" s="2" t="s">
        <v>221</v>
      </c>
      <c r="G96" s="8">
        <v>46125.0</v>
      </c>
      <c r="H96" s="8">
        <v>46155.0</v>
      </c>
      <c r="I96" s="8">
        <v>46156.0</v>
      </c>
      <c r="J96" s="2" t="s">
        <v>50</v>
      </c>
      <c r="K96" s="2">
        <v>1.0</v>
      </c>
      <c r="L96" s="2">
        <v>500.0</v>
      </c>
      <c r="M96" s="2">
        <v>46.0</v>
      </c>
      <c r="N96" s="2">
        <v>23000.0</v>
      </c>
    </row>
    <row r="97" ht="15.75" customHeight="1">
      <c r="A97" s="2" t="s">
        <v>398</v>
      </c>
      <c r="B97" s="2" t="s">
        <v>236</v>
      </c>
      <c r="C97" s="2" t="s">
        <v>237</v>
      </c>
      <c r="D97" s="2" t="s">
        <v>66</v>
      </c>
      <c r="E97" s="2" t="s">
        <v>68</v>
      </c>
      <c r="F97" s="2" t="s">
        <v>221</v>
      </c>
      <c r="G97" s="8">
        <v>46130.0</v>
      </c>
      <c r="H97" s="8">
        <v>46160.0</v>
      </c>
      <c r="I97" s="8">
        <v>46160.0</v>
      </c>
      <c r="J97" s="2" t="s">
        <v>50</v>
      </c>
      <c r="K97" s="2">
        <v>0.0</v>
      </c>
      <c r="L97" s="2">
        <v>500.0</v>
      </c>
      <c r="M97" s="2">
        <v>38.0</v>
      </c>
      <c r="N97" s="2">
        <v>19000.0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5.0"/>
    <col customWidth="1" min="3" max="4" width="11.0"/>
    <col customWidth="1" min="5" max="5" width="20.0"/>
    <col customWidth="1" min="6" max="6" width="11.0"/>
    <col customWidth="1" min="7" max="7" width="19.0"/>
    <col customWidth="1" min="8" max="8" width="17.0"/>
    <col customWidth="1" min="9" max="9" width="12.0"/>
    <col customWidth="1" min="10" max="10" width="17.0"/>
    <col customWidth="1" min="11" max="11" width="11.0"/>
    <col customWidth="1" min="12" max="12" width="14.0"/>
    <col customWidth="1" min="13" max="13" width="13.0"/>
    <col customWidth="1" min="14" max="15" width="19.0"/>
    <col customWidth="1" min="16" max="16" width="20.0"/>
    <col customWidth="1" min="17" max="17" width="19.0"/>
    <col customWidth="1" min="18" max="18" width="20.0"/>
    <col customWidth="1" min="19" max="19" width="16.0"/>
    <col customWidth="1" min="20" max="20" width="20.0"/>
    <col customWidth="1" min="21" max="21" width="11.0"/>
    <col customWidth="1" min="22" max="26" width="8.71"/>
  </cols>
  <sheetData>
    <row r="1">
      <c r="A1" s="3" t="s">
        <v>8</v>
      </c>
      <c r="B1" s="3" t="s">
        <v>9</v>
      </c>
      <c r="C1" s="3" t="s">
        <v>250</v>
      </c>
      <c r="D1" s="3" t="s">
        <v>251</v>
      </c>
      <c r="E1" s="3" t="s">
        <v>253</v>
      </c>
      <c r="F1" s="3" t="s">
        <v>10</v>
      </c>
      <c r="G1" s="3" t="s">
        <v>12</v>
      </c>
      <c r="H1" s="3" t="s">
        <v>194</v>
      </c>
      <c r="I1" s="3" t="s">
        <v>199</v>
      </c>
      <c r="J1" s="3" t="s">
        <v>210</v>
      </c>
      <c r="K1" s="3" t="s">
        <v>214</v>
      </c>
      <c r="L1" s="3" t="s">
        <v>218</v>
      </c>
      <c r="M1" s="3" t="s">
        <v>265</v>
      </c>
      <c r="N1" s="3" t="s">
        <v>205</v>
      </c>
      <c r="O1" s="3" t="s">
        <v>268</v>
      </c>
      <c r="P1" s="3" t="s">
        <v>222</v>
      </c>
      <c r="Q1" s="3" t="s">
        <v>270</v>
      </c>
      <c r="R1" s="3" t="s">
        <v>272</v>
      </c>
      <c r="S1" s="3" t="s">
        <v>273</v>
      </c>
      <c r="T1" s="3" t="s">
        <v>274</v>
      </c>
      <c r="U1" s="3" t="s">
        <v>275</v>
      </c>
    </row>
    <row r="2">
      <c r="A2" s="2" t="s">
        <v>236</v>
      </c>
      <c r="B2" s="2" t="s">
        <v>237</v>
      </c>
      <c r="C2" s="2" t="s">
        <v>277</v>
      </c>
      <c r="D2" s="2" t="s">
        <v>279</v>
      </c>
      <c r="E2" s="2" t="s">
        <v>281</v>
      </c>
      <c r="F2" s="2" t="s">
        <v>66</v>
      </c>
      <c r="G2" s="2" t="s">
        <v>68</v>
      </c>
      <c r="H2" s="2">
        <v>30.0</v>
      </c>
      <c r="I2" s="2">
        <v>200.0</v>
      </c>
      <c r="J2" s="2">
        <v>38.0</v>
      </c>
      <c r="K2" s="2">
        <v>98.0</v>
      </c>
      <c r="L2" s="2">
        <v>60.0</v>
      </c>
      <c r="M2" s="2">
        <v>0.612</v>
      </c>
      <c r="N2" s="2">
        <v>12.0</v>
      </c>
      <c r="O2" s="2" t="s">
        <v>292</v>
      </c>
      <c r="P2" s="2">
        <v>850.0</v>
      </c>
      <c r="Q2" s="2">
        <v>32300.0</v>
      </c>
      <c r="R2" s="2">
        <v>83300.0</v>
      </c>
      <c r="S2" s="8">
        <v>46277.0</v>
      </c>
      <c r="T2" s="2">
        <v>60.0</v>
      </c>
      <c r="U2" s="2"/>
    </row>
    <row r="3">
      <c r="A3" s="2" t="s">
        <v>59</v>
      </c>
      <c r="B3" s="2" t="s">
        <v>64</v>
      </c>
      <c r="C3" s="2" t="s">
        <v>277</v>
      </c>
      <c r="D3" s="2" t="s">
        <v>300</v>
      </c>
      <c r="E3" s="2" t="s">
        <v>281</v>
      </c>
      <c r="F3" s="2" t="s">
        <v>66</v>
      </c>
      <c r="G3" s="2" t="s">
        <v>68</v>
      </c>
      <c r="H3" s="2">
        <v>35.0</v>
      </c>
      <c r="I3" s="2">
        <v>150.0</v>
      </c>
      <c r="J3" s="2">
        <v>46.0</v>
      </c>
      <c r="K3" s="2">
        <v>118.0</v>
      </c>
      <c r="L3" s="2">
        <v>72.0</v>
      </c>
      <c r="M3" s="2">
        <v>0.61</v>
      </c>
      <c r="N3" s="2">
        <v>8.0</v>
      </c>
      <c r="O3" s="2" t="s">
        <v>301</v>
      </c>
      <c r="P3" s="2">
        <v>0.0</v>
      </c>
      <c r="Q3" s="2">
        <v>0.0</v>
      </c>
      <c r="R3" s="2">
        <v>0.0</v>
      </c>
      <c r="S3" s="8"/>
      <c r="T3" s="2"/>
      <c r="U3" s="2" t="s">
        <v>305</v>
      </c>
    </row>
    <row r="4">
      <c r="A4" s="2" t="s">
        <v>303</v>
      </c>
      <c r="B4" s="2" t="s">
        <v>304</v>
      </c>
      <c r="C4" s="2" t="s">
        <v>306</v>
      </c>
      <c r="D4" s="2" t="s">
        <v>307</v>
      </c>
      <c r="E4" s="2" t="s">
        <v>308</v>
      </c>
      <c r="F4" s="2" t="s">
        <v>117</v>
      </c>
      <c r="G4" s="2" t="s">
        <v>119</v>
      </c>
      <c r="H4" s="2">
        <v>45.0</v>
      </c>
      <c r="I4" s="2">
        <v>500.0</v>
      </c>
      <c r="J4" s="2">
        <v>14.25</v>
      </c>
      <c r="K4" s="2">
        <v>38.0</v>
      </c>
      <c r="L4" s="2">
        <v>23.75</v>
      </c>
      <c r="M4" s="2">
        <v>0.625</v>
      </c>
      <c r="N4" s="2">
        <v>24.0</v>
      </c>
      <c r="O4" s="2" t="s">
        <v>292</v>
      </c>
      <c r="P4" s="2">
        <v>1600.0</v>
      </c>
      <c r="Q4" s="2">
        <v>22800.0</v>
      </c>
      <c r="R4" s="2">
        <v>60800.0</v>
      </c>
      <c r="S4" s="8">
        <v>46262.0</v>
      </c>
      <c r="T4" s="2">
        <v>45.0</v>
      </c>
      <c r="U4" s="2"/>
    </row>
    <row r="5">
      <c r="A5" s="2" t="s">
        <v>131</v>
      </c>
      <c r="B5" s="2" t="s">
        <v>133</v>
      </c>
      <c r="C5" s="2" t="s">
        <v>306</v>
      </c>
      <c r="D5" s="2" t="s">
        <v>310</v>
      </c>
      <c r="E5" s="2" t="s">
        <v>281</v>
      </c>
      <c r="F5" s="2" t="s">
        <v>117</v>
      </c>
      <c r="G5" s="2" t="s">
        <v>119</v>
      </c>
      <c r="H5" s="2">
        <v>45.0</v>
      </c>
      <c r="I5" s="2">
        <v>400.0</v>
      </c>
      <c r="J5" s="2">
        <v>19.5</v>
      </c>
      <c r="K5" s="2">
        <v>52.0</v>
      </c>
      <c r="L5" s="2">
        <v>32.5</v>
      </c>
      <c r="M5" s="2">
        <v>0.625</v>
      </c>
      <c r="N5" s="2">
        <v>24.0</v>
      </c>
      <c r="O5" s="2" t="s">
        <v>301</v>
      </c>
      <c r="P5" s="2">
        <v>0.0</v>
      </c>
      <c r="Q5" s="2">
        <v>0.0</v>
      </c>
      <c r="R5" s="2">
        <v>0.0</v>
      </c>
      <c r="S5" s="8"/>
      <c r="T5" s="2"/>
      <c r="U5" s="2" t="s">
        <v>305</v>
      </c>
    </row>
    <row r="6">
      <c r="A6" s="2" t="s">
        <v>111</v>
      </c>
      <c r="B6" s="2" t="s">
        <v>114</v>
      </c>
      <c r="C6" s="2" t="s">
        <v>306</v>
      </c>
      <c r="D6" s="2" t="s">
        <v>307</v>
      </c>
      <c r="E6" s="2" t="s">
        <v>308</v>
      </c>
      <c r="F6" s="2" t="s">
        <v>117</v>
      </c>
      <c r="G6" s="2" t="s">
        <v>119</v>
      </c>
      <c r="H6" s="2">
        <v>40.0</v>
      </c>
      <c r="I6" s="2">
        <v>500.0</v>
      </c>
      <c r="J6" s="2">
        <v>11.0</v>
      </c>
      <c r="K6" s="2">
        <v>30.0</v>
      </c>
      <c r="L6" s="2">
        <v>19.0</v>
      </c>
      <c r="M6" s="2">
        <v>0.633</v>
      </c>
      <c r="N6" s="2">
        <v>30.0</v>
      </c>
      <c r="O6" s="2" t="s">
        <v>301</v>
      </c>
      <c r="P6" s="2">
        <v>0.0</v>
      </c>
      <c r="Q6" s="2">
        <v>0.0</v>
      </c>
      <c r="R6" s="2">
        <v>0.0</v>
      </c>
      <c r="S6" s="8"/>
      <c r="T6" s="2"/>
      <c r="U6" s="2" t="s">
        <v>305</v>
      </c>
    </row>
    <row r="7">
      <c r="A7" s="2" t="s">
        <v>188</v>
      </c>
      <c r="B7" s="2" t="s">
        <v>190</v>
      </c>
      <c r="C7" s="2" t="s">
        <v>314</v>
      </c>
      <c r="D7" s="2" t="s">
        <v>316</v>
      </c>
      <c r="E7" s="2" t="s">
        <v>281</v>
      </c>
      <c r="F7" s="2" t="s">
        <v>40</v>
      </c>
      <c r="G7" s="2" t="s">
        <v>42</v>
      </c>
      <c r="H7" s="2">
        <v>60.0</v>
      </c>
      <c r="I7" s="2">
        <v>300.0</v>
      </c>
      <c r="J7" s="2">
        <v>22.0</v>
      </c>
      <c r="K7" s="2">
        <v>58.0</v>
      </c>
      <c r="L7" s="2">
        <v>36.0</v>
      </c>
      <c r="M7" s="2">
        <v>0.621</v>
      </c>
      <c r="N7" s="2">
        <v>20.0</v>
      </c>
      <c r="O7" s="2" t="s">
        <v>292</v>
      </c>
      <c r="P7" s="2">
        <v>1200.0</v>
      </c>
      <c r="Q7" s="2">
        <v>26400.0</v>
      </c>
      <c r="R7" s="2">
        <v>69600.0</v>
      </c>
      <c r="S7" s="8">
        <v>46247.0</v>
      </c>
      <c r="T7" s="2">
        <v>30.0</v>
      </c>
      <c r="U7" s="2"/>
    </row>
    <row r="8">
      <c r="A8" s="2" t="s">
        <v>35</v>
      </c>
      <c r="B8" s="2" t="s">
        <v>37</v>
      </c>
      <c r="C8" s="2" t="s">
        <v>314</v>
      </c>
      <c r="D8" s="2" t="s">
        <v>318</v>
      </c>
      <c r="E8" s="2" t="s">
        <v>319</v>
      </c>
      <c r="F8" s="2" t="s">
        <v>40</v>
      </c>
      <c r="G8" s="2" t="s">
        <v>42</v>
      </c>
      <c r="H8" s="2">
        <v>60.0</v>
      </c>
      <c r="I8" s="2">
        <v>300.0</v>
      </c>
      <c r="J8" s="2">
        <v>26.0</v>
      </c>
      <c r="K8" s="2">
        <v>68.0</v>
      </c>
      <c r="L8" s="2">
        <v>42.0</v>
      </c>
      <c r="M8" s="2">
        <v>0.618</v>
      </c>
      <c r="N8" s="2">
        <v>20.0</v>
      </c>
      <c r="O8" s="2" t="s">
        <v>301</v>
      </c>
      <c r="P8" s="2">
        <v>0.0</v>
      </c>
      <c r="Q8" s="2">
        <v>0.0</v>
      </c>
      <c r="R8" s="2">
        <v>0.0</v>
      </c>
      <c r="S8" s="8"/>
      <c r="T8" s="2"/>
      <c r="U8" s="2" t="s">
        <v>305</v>
      </c>
    </row>
    <row r="9">
      <c r="A9" s="2" t="s">
        <v>79</v>
      </c>
      <c r="B9" s="2" t="s">
        <v>81</v>
      </c>
      <c r="C9" s="2" t="s">
        <v>314</v>
      </c>
      <c r="D9" s="2" t="s">
        <v>321</v>
      </c>
      <c r="E9" s="2" t="s">
        <v>319</v>
      </c>
      <c r="F9" s="2" t="s">
        <v>84</v>
      </c>
      <c r="G9" s="2" t="s">
        <v>42</v>
      </c>
      <c r="H9" s="2">
        <v>65.0</v>
      </c>
      <c r="I9" s="2">
        <v>250.0</v>
      </c>
      <c r="J9" s="2">
        <v>30.0</v>
      </c>
      <c r="K9" s="2">
        <v>78.0</v>
      </c>
      <c r="L9" s="2">
        <v>48.0</v>
      </c>
      <c r="M9" s="2">
        <v>0.615</v>
      </c>
      <c r="N9" s="2">
        <v>16.0</v>
      </c>
      <c r="O9" s="2" t="s">
        <v>292</v>
      </c>
      <c r="P9" s="2">
        <v>950.0</v>
      </c>
      <c r="Q9" s="2">
        <v>28500.0</v>
      </c>
      <c r="R9" s="2">
        <v>74100.0</v>
      </c>
      <c r="S9" s="8">
        <v>46242.0</v>
      </c>
      <c r="T9" s="2">
        <v>25.0</v>
      </c>
      <c r="U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1.0"/>
    <col customWidth="1" min="3" max="3" width="10.0"/>
    <col customWidth="1" min="4" max="4" width="11.0"/>
    <col customWidth="1" min="5" max="5" width="9.0"/>
    <col customWidth="1" min="6" max="7" width="13.0"/>
    <col customWidth="1" min="8" max="8" width="10.0"/>
    <col customWidth="1" min="9" max="10" width="12.0"/>
    <col customWidth="1" min="11" max="26" width="8.71"/>
  </cols>
  <sheetData>
    <row r="1">
      <c r="A1" s="1" t="s">
        <v>331</v>
      </c>
    </row>
    <row r="2">
      <c r="A2" s="2" t="s">
        <v>333</v>
      </c>
    </row>
    <row r="3">
      <c r="A3" s="10" t="s">
        <v>334</v>
      </c>
      <c r="D3" s="11">
        <v>46246.0</v>
      </c>
    </row>
    <row r="5">
      <c r="A5" s="4" t="s">
        <v>10</v>
      </c>
      <c r="B5" s="4" t="s">
        <v>337</v>
      </c>
      <c r="C5" s="4" t="s">
        <v>50</v>
      </c>
      <c r="D5" s="4" t="s">
        <v>338</v>
      </c>
      <c r="E5" s="4" t="s">
        <v>339</v>
      </c>
      <c r="F5" s="4" t="s">
        <v>340</v>
      </c>
      <c r="G5" s="4" t="s">
        <v>341</v>
      </c>
      <c r="H5" s="4" t="s">
        <v>342</v>
      </c>
      <c r="I5" s="4" t="s">
        <v>344</v>
      </c>
      <c r="J5" s="4" t="s">
        <v>345</v>
      </c>
    </row>
    <row r="6">
      <c r="A6" s="12" t="s">
        <v>84</v>
      </c>
      <c r="B6" s="12" t="s">
        <v>42</v>
      </c>
      <c r="C6" s="12">
        <f>COUNTIFS('Shipments Data'!$D$2:$D$97,$A6,'Shipments Data'!$J$2:$J$97,"Received")</f>
        <v>12</v>
      </c>
      <c r="D6" s="12">
        <f>COUNTIFS('Shipments Data'!$D$2:$D$97,$A6,'Shipments Data'!$J$2:$J$97,"Received",'Shipments Data'!$K$2:$K$97,"&gt;0")</f>
        <v>12</v>
      </c>
      <c r="E6" s="13">
        <f t="shared" ref="E6:E9" si="1">D6/C6</f>
        <v>1</v>
      </c>
      <c r="F6" s="14">
        <f>AVERAGEIFS('Shipments Data'!$K$2:$K$97,'Shipments Data'!$D$2:$D$97,$A6,'Shipments Data'!$J$2:$J$97,"Received")</f>
        <v>12.08333333</v>
      </c>
      <c r="G6" s="12">
        <f>MAXIFS('Shipments Data'!$K$2:$K$97,'Shipments Data'!$D$2:$D$97,$A6,'Shipments Data'!$J$2:$J$97,"Received")</f>
        <v>19</v>
      </c>
      <c r="H6" s="12">
        <f>COUNTIFS('Shipments Data'!$D$2:$D$97,$A6,'Shipments Data'!$J$2:$J$97,"In transit")</f>
        <v>3</v>
      </c>
      <c r="I6" s="12">
        <f>COUNTIFS('Shipments Data'!$D$2:$D$97,$A6,'Shipments Data'!$J$2:$J$97,"In transit",'Shipments Data'!$H$2:$H$97,"&lt;"&amp;$D$3)</f>
        <v>2</v>
      </c>
      <c r="J6" s="15" t="str">
        <f t="shared" ref="J6:J9" si="2">IF(F6&gt;3,"At risk","Reliable")</f>
        <v>At risk</v>
      </c>
    </row>
    <row r="7">
      <c r="A7" s="12" t="s">
        <v>40</v>
      </c>
      <c r="B7" s="12" t="s">
        <v>42</v>
      </c>
      <c r="C7" s="12">
        <f>COUNTIFS('Shipments Data'!$D$2:$D$97,$A7,'Shipments Data'!$J$2:$J$97,"Received")</f>
        <v>17</v>
      </c>
      <c r="D7" s="12">
        <f>COUNTIFS('Shipments Data'!$D$2:$D$97,$A7,'Shipments Data'!$J$2:$J$97,"Received",'Shipments Data'!$K$2:$K$97,"&gt;0")</f>
        <v>17</v>
      </c>
      <c r="E7" s="13">
        <f t="shared" si="1"/>
        <v>1</v>
      </c>
      <c r="F7" s="14">
        <f>AVERAGEIFS('Shipments Data'!$K$2:$K$97,'Shipments Data'!$D$2:$D$97,$A7,'Shipments Data'!$J$2:$J$97,"Received")</f>
        <v>6.941176471</v>
      </c>
      <c r="G7" s="12">
        <f>MAXIFS('Shipments Data'!$K$2:$K$97,'Shipments Data'!$D$2:$D$97,$A7,'Shipments Data'!$J$2:$J$97,"Received")</f>
        <v>12</v>
      </c>
      <c r="H7" s="12">
        <f>COUNTIFS('Shipments Data'!$D$2:$D$97,$A7,'Shipments Data'!$J$2:$J$97,"In transit")</f>
        <v>9</v>
      </c>
      <c r="I7" s="12">
        <f>COUNTIFS('Shipments Data'!$D$2:$D$97,$A7,'Shipments Data'!$J$2:$J$97,"In transit",'Shipments Data'!$H$2:$H$97,"&lt;"&amp;$D$3)</f>
        <v>9</v>
      </c>
      <c r="J7" s="15" t="str">
        <f t="shared" si="2"/>
        <v>At risk</v>
      </c>
    </row>
    <row r="8">
      <c r="A8" s="16" t="s">
        <v>117</v>
      </c>
      <c r="B8" s="16" t="s">
        <v>119</v>
      </c>
      <c r="C8" s="16">
        <f>COUNTIFS('Shipments Data'!$D$2:$D$97,$A8,'Shipments Data'!$J$2:$J$97,"Received")</f>
        <v>28</v>
      </c>
      <c r="D8" s="16">
        <f>COUNTIFS('Shipments Data'!$D$2:$D$97,$A8,'Shipments Data'!$J$2:$J$97,"Received",'Shipments Data'!$K$2:$K$97,"&gt;0")</f>
        <v>16</v>
      </c>
      <c r="E8" s="17">
        <f t="shared" si="1"/>
        <v>0.5714285714</v>
      </c>
      <c r="F8" s="18">
        <f>AVERAGEIFS('Shipments Data'!$K$2:$K$97,'Shipments Data'!$D$2:$D$97,$A8,'Shipments Data'!$J$2:$J$97,"Received")</f>
        <v>0.75</v>
      </c>
      <c r="G8" s="16">
        <f>MAXIFS('Shipments Data'!$K$2:$K$97,'Shipments Data'!$D$2:$D$97,$A8,'Shipments Data'!$J$2:$J$97,"Received")</f>
        <v>2</v>
      </c>
      <c r="H8" s="16">
        <f>COUNTIFS('Shipments Data'!$D$2:$D$97,$A8,'Shipments Data'!$J$2:$J$97,"In transit")</f>
        <v>4</v>
      </c>
      <c r="I8" s="16">
        <f>COUNTIFS('Shipments Data'!$D$2:$D$97,$A8,'Shipments Data'!$J$2:$J$97,"In transit",'Shipments Data'!$H$2:$H$97,"&lt;"&amp;$D$3)</f>
        <v>4</v>
      </c>
      <c r="J8" s="22" t="str">
        <f t="shared" si="2"/>
        <v>Reliable</v>
      </c>
    </row>
    <row r="9">
      <c r="A9" s="16" t="s">
        <v>66</v>
      </c>
      <c r="B9" s="16" t="s">
        <v>68</v>
      </c>
      <c r="C9" s="16">
        <f>COUNTIFS('Shipments Data'!$D$2:$D$97,$A9,'Shipments Data'!$J$2:$J$97,"Received")</f>
        <v>23</v>
      </c>
      <c r="D9" s="16">
        <f>COUNTIFS('Shipments Data'!$D$2:$D$97,$A9,'Shipments Data'!$J$2:$J$97,"Received",'Shipments Data'!$K$2:$K$97,"&gt;0")</f>
        <v>12</v>
      </c>
      <c r="E9" s="17">
        <f t="shared" si="1"/>
        <v>0.5217391304</v>
      </c>
      <c r="F9" s="18">
        <f>AVERAGEIFS('Shipments Data'!$K$2:$K$97,'Shipments Data'!$D$2:$D$97,$A9,'Shipments Data'!$J$2:$J$97,"Received")</f>
        <v>0.5217391304</v>
      </c>
      <c r="G9" s="16">
        <f>MAXIFS('Shipments Data'!$K$2:$K$97,'Shipments Data'!$D$2:$D$97,$A9,'Shipments Data'!$J$2:$J$97,"Received")</f>
        <v>1</v>
      </c>
      <c r="H9" s="16">
        <f>COUNTIFS('Shipments Data'!$D$2:$D$97,$A9,'Shipments Data'!$J$2:$J$97,"In transit")</f>
        <v>0</v>
      </c>
      <c r="I9" s="16">
        <f>COUNTIFS('Shipments Data'!$D$2:$D$97,$A9,'Shipments Data'!$J$2:$J$97,"In transit",'Shipments Data'!$H$2:$H$97,"&lt;"&amp;$D$3)</f>
        <v>0</v>
      </c>
      <c r="J9" s="22" t="str">
        <f t="shared" si="2"/>
        <v>Reliable</v>
      </c>
    </row>
    <row r="11">
      <c r="A11" s="24" t="s">
        <v>399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7.0"/>
    <col customWidth="1" min="3" max="3" width="19.0"/>
    <col customWidth="1" min="4" max="4" width="8.0"/>
    <col customWidth="1" min="5" max="5" width="10.0"/>
    <col customWidth="1" min="6" max="6" width="15.0"/>
    <col customWidth="1" min="7" max="7" width="8.0"/>
    <col customWidth="1" min="8" max="9" width="12.0"/>
    <col customWidth="1" min="10" max="10" width="11.0"/>
    <col customWidth="1" min="11" max="11" width="9.0"/>
    <col customWidth="1" min="12" max="12" width="10.0"/>
    <col customWidth="1" min="13" max="13" width="13.0"/>
    <col customWidth="1" min="14" max="26" width="8.71"/>
  </cols>
  <sheetData>
    <row r="1">
      <c r="A1" s="1" t="s">
        <v>381</v>
      </c>
    </row>
    <row r="2">
      <c r="A2" s="2" t="s">
        <v>383</v>
      </c>
    </row>
    <row r="4">
      <c r="A4" s="4" t="s">
        <v>8</v>
      </c>
      <c r="B4" s="4" t="s">
        <v>385</v>
      </c>
      <c r="C4" s="4" t="s">
        <v>10</v>
      </c>
      <c r="D4" s="4" t="s">
        <v>26</v>
      </c>
      <c r="E4" s="4" t="s">
        <v>386</v>
      </c>
      <c r="F4" s="4" t="s">
        <v>388</v>
      </c>
      <c r="G4" s="4" t="s">
        <v>214</v>
      </c>
      <c r="H4" s="4" t="s">
        <v>389</v>
      </c>
      <c r="I4" s="4" t="s">
        <v>340</v>
      </c>
      <c r="J4" s="4" t="s">
        <v>390</v>
      </c>
      <c r="K4" s="4" t="s">
        <v>391</v>
      </c>
      <c r="L4" s="4" t="s">
        <v>345</v>
      </c>
      <c r="M4" s="4" t="s">
        <v>392</v>
      </c>
    </row>
    <row r="5">
      <c r="A5" s="19" t="s">
        <v>236</v>
      </c>
      <c r="B5" s="19" t="s">
        <v>237</v>
      </c>
      <c r="C5" s="19" t="s">
        <v>66</v>
      </c>
      <c r="D5" s="20">
        <v>850.0</v>
      </c>
      <c r="E5" s="21">
        <v>38.0</v>
      </c>
      <c r="F5" s="23">
        <f t="shared" ref="F5:F8" si="1">D5*E5</f>
        <v>32300</v>
      </c>
      <c r="G5" s="27">
        <v>98.0</v>
      </c>
      <c r="H5" s="23">
        <f t="shared" ref="H5:H8" si="2">D5*G5</f>
        <v>83300</v>
      </c>
      <c r="I5" s="29">
        <f t="array" ref="I5">INDEX('Supplier Reliability'!$F$6:$F$9,MATCH(C5,'Supplier Reliability'!$A$6:$A$9,0))</f>
        <v>0.5217391304</v>
      </c>
      <c r="J5" s="20">
        <v>12.0</v>
      </c>
      <c r="K5" s="19" t="str">
        <f t="shared" ref="K5:K8" si="3">IF(MOD(D5,J5)=0,"Whole","Partial")</f>
        <v>Partial</v>
      </c>
      <c r="L5" s="19" t="str">
        <f t="array" ref="L5">INDEX('Supplier Reliability'!$J$6:$J$9,MATCH(C5,'Supplier Reliability'!$A$6:$A$9,0))</f>
        <v>Reliable</v>
      </c>
      <c r="M5" s="30">
        <f t="shared" ref="M5:M8" si="4">IF(L5="At risk",H5,0)</f>
        <v>0</v>
      </c>
    </row>
    <row r="6">
      <c r="A6" s="19" t="s">
        <v>303</v>
      </c>
      <c r="B6" s="19" t="s">
        <v>304</v>
      </c>
      <c r="C6" s="19" t="s">
        <v>117</v>
      </c>
      <c r="D6" s="20">
        <v>1600.0</v>
      </c>
      <c r="E6" s="21">
        <v>14.25</v>
      </c>
      <c r="F6" s="23">
        <f t="shared" si="1"/>
        <v>22800</v>
      </c>
      <c r="G6" s="27">
        <v>38.0</v>
      </c>
      <c r="H6" s="23">
        <f t="shared" si="2"/>
        <v>60800</v>
      </c>
      <c r="I6" s="29">
        <f t="array" ref="I6">INDEX('Supplier Reliability'!$F$6:$F$9,MATCH(C6,'Supplier Reliability'!$A$6:$A$9,0))</f>
        <v>0.75</v>
      </c>
      <c r="J6" s="20">
        <v>24.0</v>
      </c>
      <c r="K6" s="19" t="str">
        <f t="shared" si="3"/>
        <v>Partial</v>
      </c>
      <c r="L6" s="19" t="str">
        <f t="array" ref="L6">INDEX('Supplier Reliability'!$J$6:$J$9,MATCH(C6,'Supplier Reliability'!$A$6:$A$9,0))</f>
        <v>Reliable</v>
      </c>
      <c r="M6" s="30">
        <f t="shared" si="4"/>
        <v>0</v>
      </c>
    </row>
    <row r="7">
      <c r="A7" s="12" t="s">
        <v>188</v>
      </c>
      <c r="B7" s="12" t="s">
        <v>190</v>
      </c>
      <c r="C7" s="12" t="s">
        <v>40</v>
      </c>
      <c r="D7" s="31">
        <v>1200.0</v>
      </c>
      <c r="E7" s="32">
        <v>22.0</v>
      </c>
      <c r="F7" s="33">
        <f t="shared" si="1"/>
        <v>26400</v>
      </c>
      <c r="G7" s="34">
        <v>58.0</v>
      </c>
      <c r="H7" s="33">
        <f t="shared" si="2"/>
        <v>69600</v>
      </c>
      <c r="I7" s="14">
        <f t="array" ref="I7">INDEX('Supplier Reliability'!$F$6:$F$9,MATCH(C7,'Supplier Reliability'!$A$6:$A$9,0))</f>
        <v>6.941176471</v>
      </c>
      <c r="J7" s="31">
        <v>20.0</v>
      </c>
      <c r="K7" s="12" t="str">
        <f t="shared" si="3"/>
        <v>Whole</v>
      </c>
      <c r="L7" s="12" t="str">
        <f t="array" ref="L7">INDEX('Supplier Reliability'!$J$6:$J$9,MATCH(C7,'Supplier Reliability'!$A$6:$A$9,0))</f>
        <v>At risk</v>
      </c>
      <c r="M7" s="35">
        <f t="shared" si="4"/>
        <v>69600</v>
      </c>
    </row>
    <row r="8">
      <c r="A8" s="12" t="s">
        <v>79</v>
      </c>
      <c r="B8" s="12" t="s">
        <v>81</v>
      </c>
      <c r="C8" s="12" t="s">
        <v>84</v>
      </c>
      <c r="D8" s="31">
        <v>950.0</v>
      </c>
      <c r="E8" s="32">
        <v>30.0</v>
      </c>
      <c r="F8" s="33">
        <f t="shared" si="1"/>
        <v>28500</v>
      </c>
      <c r="G8" s="34">
        <v>78.0</v>
      </c>
      <c r="H8" s="33">
        <f t="shared" si="2"/>
        <v>74100</v>
      </c>
      <c r="I8" s="14">
        <f t="array" ref="I8">INDEX('Supplier Reliability'!$F$6:$F$9,MATCH(C8,'Supplier Reliability'!$A$6:$A$9,0))</f>
        <v>12.08333333</v>
      </c>
      <c r="J8" s="31">
        <v>16.0</v>
      </c>
      <c r="K8" s="12" t="str">
        <f t="shared" si="3"/>
        <v>Partial</v>
      </c>
      <c r="L8" s="12" t="str">
        <f t="array" ref="L8">INDEX('Supplier Reliability'!$J$6:$J$9,MATCH(C8,'Supplier Reliability'!$A$6:$A$9,0))</f>
        <v>At risk</v>
      </c>
      <c r="M8" s="35">
        <f t="shared" si="4"/>
        <v>74100</v>
      </c>
    </row>
    <row r="9">
      <c r="A9" s="36"/>
      <c r="B9" s="36"/>
      <c r="C9" s="25" t="s">
        <v>434</v>
      </c>
      <c r="D9" s="37">
        <f>SUM(D5:D8)</f>
        <v>4600</v>
      </c>
      <c r="E9" s="36"/>
      <c r="F9" s="38">
        <f>SUM(F5:F8)</f>
        <v>110000</v>
      </c>
      <c r="G9" s="36"/>
      <c r="H9" s="38">
        <f>SUM(H5:H8)</f>
        <v>287800</v>
      </c>
      <c r="I9" s="36"/>
      <c r="J9" s="36"/>
      <c r="K9" s="36"/>
      <c r="L9" s="36"/>
      <c r="M9" s="38">
        <f>SUM(M5:M8)</f>
        <v>143700</v>
      </c>
    </row>
    <row r="10">
      <c r="A10" s="10" t="s">
        <v>435</v>
      </c>
      <c r="M10" s="39">
        <f>M9/H9</f>
        <v>0.499305073</v>
      </c>
    </row>
    <row r="12">
      <c r="A12" s="24" t="s">
        <v>436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2.0"/>
    <col customWidth="1" min="3" max="3" width="26.0"/>
    <col customWidth="1" min="4" max="4" width="42.0"/>
    <col customWidth="1" min="5" max="5" width="12.0"/>
    <col customWidth="1" min="6" max="26" width="8.71"/>
  </cols>
  <sheetData>
    <row r="1">
      <c r="A1" s="1" t="s">
        <v>400</v>
      </c>
    </row>
    <row r="3">
      <c r="A3" s="5" t="s">
        <v>401</v>
      </c>
    </row>
    <row r="4">
      <c r="A4" s="25" t="s">
        <v>402</v>
      </c>
      <c r="B4" s="9" t="s">
        <v>403</v>
      </c>
    </row>
    <row r="5">
      <c r="A5" s="25" t="s">
        <v>404</v>
      </c>
      <c r="B5" s="9" t="s">
        <v>405</v>
      </c>
    </row>
    <row r="6">
      <c r="A6" s="25" t="s">
        <v>406</v>
      </c>
      <c r="B6" s="9" t="s">
        <v>407</v>
      </c>
    </row>
    <row r="7">
      <c r="A7" s="25" t="s">
        <v>408</v>
      </c>
      <c r="B7" s="9" t="s">
        <v>409</v>
      </c>
    </row>
    <row r="8">
      <c r="A8" s="25" t="s">
        <v>410</v>
      </c>
      <c r="B8" s="9" t="s">
        <v>411</v>
      </c>
    </row>
    <row r="10">
      <c r="A10" s="5" t="s">
        <v>412</v>
      </c>
    </row>
    <row r="11">
      <c r="A11" s="4" t="s">
        <v>413</v>
      </c>
      <c r="B11" s="4" t="s">
        <v>414</v>
      </c>
      <c r="C11" s="4" t="s">
        <v>415</v>
      </c>
      <c r="D11" s="4" t="s">
        <v>416</v>
      </c>
      <c r="E11" s="4" t="s">
        <v>417</v>
      </c>
    </row>
    <row r="12">
      <c r="A12" s="7" t="s">
        <v>418</v>
      </c>
      <c r="B12" s="7" t="s">
        <v>419</v>
      </c>
      <c r="C12" s="7" t="s">
        <v>420</v>
      </c>
      <c r="D12" s="7" t="s">
        <v>421</v>
      </c>
      <c r="E12" s="7" t="s">
        <v>422</v>
      </c>
    </row>
    <row r="13">
      <c r="A13" s="7" t="s">
        <v>423</v>
      </c>
      <c r="B13" s="7" t="s">
        <v>424</v>
      </c>
      <c r="C13" s="7" t="s">
        <v>425</v>
      </c>
      <c r="D13" s="7" t="s">
        <v>426</v>
      </c>
      <c r="E13" s="7" t="s">
        <v>427</v>
      </c>
    </row>
    <row r="14">
      <c r="A14" s="26" t="s">
        <v>428</v>
      </c>
      <c r="B14" s="26" t="s">
        <v>429</v>
      </c>
      <c r="C14" s="26" t="s">
        <v>430</v>
      </c>
      <c r="D14" s="26" t="s">
        <v>431</v>
      </c>
      <c r="E14" s="26" t="s">
        <v>432</v>
      </c>
    </row>
    <row r="16" ht="45.75" customHeight="1">
      <c r="A16" s="28" t="s">
        <v>433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E16"/>
  </mergeCells>
  <printOptions/>
  <pageMargins bottom="1.0" footer="0.0" header="0.0" left="0.75" right="0.75" top="1.0"/>
  <pageSetup paperSize="9" orientation="portrait"/>
  <drawing r:id="rId1"/>
</worksheet>
</file>